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aca212e8624802" /></Relationships>
</file>

<file path=xl/workbook.xml><?xml version="1.0" encoding="utf-8"?>
<x:workbook xmlns:x="http://schemas.openxmlformats.org/spreadsheetml/2006/main">
  <x:sheets>
    <x:sheet xmlns:r="http://schemas.openxmlformats.org/officeDocument/2006/relationships" name="Applications" sheetId="1" r:id="Rfc9b28d1d5ba492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dd/yy h:mm AM/PM"/>
    <x:numFmt numFmtId="201" formatCode="mm/dd/yy"/>
    <x:numFmt numFmtId="202" formatCode="$#,##0"/>
  </x:numFmts>
  <x:fonts count="5">
    <x:font>
      <x:sz val="11"/>
      <x:name val="Carlito"/>
    </x:font>
    <x:font>
      <x:b/>
      <x:sz val="14"/>
      <x:color rgb="FF1F2937"/>
      <x:name val="Arial"/>
    </x:font>
    <x:font>
      <x:b/>
      <x:sz val="10"/>
      <x:color rgb="FF1F2937"/>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DCE6F1"/>
      </x:patternFill>
    </x:fill>
    <x:fill>
      <x:patternFill patternType="solid">
        <x:fgColor rgb="FF1F4E78"/>
      </x:patternFill>
    </x:fill>
  </x:fills>
  <x:borders count="5">
    <x:border/>
    <x:border>
      <x:bottom style="thin">
        <x:color rgb="FF1F4E78"/>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2">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0" borderId="0" xfId="0" applyNumberFormat="1" applyFont="1" applyFill="1" applyBorder="1"/>
    <x:xf numFmtId="0" fontId="2" fillId="0" borderId="0" xfId="0" applyNumberFormat="1" applyFont="1" applyFill="1" applyBorder="1" applyAlignment="1">
      <x:alignment horizontal="center"/>
    </x:xf>
    <x:xf numFmtId="200" fontId="2" fillId="0" borderId="0"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4" xfId="0" applyNumberFormat="1" applyFont="1" applyFill="1" applyBorder="1" applyAlignment="1">
      <x:alignment wrapText="1"/>
    </x:xf>
    <x:xf numFmtId="0" fontId="3" fillId="3" borderId="2" xfId="0" applyNumberFormat="1" applyFont="1" applyFill="1" applyBorder="1" applyAlignment="1">
      <x:alignment horizontal="center" wrapText="1"/>
    </x:xf>
    <x:xf numFmtId="0" fontId="3" fillId="3" borderId="3" xfId="0" applyNumberFormat="1" applyFont="1" applyFill="1" applyBorder="1" applyAlignment="1">
      <x:alignment horizontal="center" wrapText="1"/>
    </x:xf>
    <x:xf numFmtId="0" fontId="3" fillId="3" borderId="4" xfId="0" applyNumberFormat="1" applyFont="1" applyFill="1" applyBorder="1" applyAlignment="1">
      <x:alignment horizontal="center" wrapText="1"/>
    </x:xf>
    <x:xf numFmtId="0" fontId="3" fillId="3" borderId="2" xfId="0" applyNumberFormat="1" applyFont="1" applyFill="1" applyBorder="1" applyAlignment="1">
      <x:alignment horizontal="center" vertical="center" wrapText="1"/>
    </x:xf>
    <x:xf numFmtId="0" fontId="3" fillId="3" borderId="3" xfId="0" applyNumberFormat="1" applyFont="1" applyFill="1" applyBorder="1" applyAlignment="1">
      <x:alignment horizontal="center" vertical="center" wrapText="1"/>
    </x:xf>
    <x:xf numFmtId="0" fontId="3" fillId="3" borderId="4" xfId="0" applyNumberFormat="1" applyFont="1" applyFill="1" applyBorder="1" applyAlignment="1">
      <x:alignment horizontal="center" vertical="center" wrapText="1"/>
    </x:xf>
    <x:xf numFmtId="201" fontId="0" fillId="0" borderId="0" xfId="0" applyNumberFormat="1" applyFont="1" applyFill="1" applyBorder="1"/>
    <x:xf numFmtId="202"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202" fontId="4" fillId="0" borderId="0" xfId="0" applyNumberFormat="1" applyFont="1" applyFill="1" applyBorder="1"/>
    <x:xf numFmtId="0" fontId="4" fillId="0" borderId="0" xfId="0" applyNumberFormat="1" applyFont="1" applyFill="1" applyBorder="1" applyAlignment="1">
      <x:alignment vertical="top"/>
    </x:xf>
    <x:xf numFmtId="201" fontId="4" fillId="0" borderId="0" xfId="0" applyNumberFormat="1" applyFont="1" applyFill="1" applyBorder="1" applyAlignment="1">
      <x:alignment vertical="top"/>
    </x:xf>
    <x:xf numFmtId="202"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cellXfs>
  <x:cellStyles count="1">
    <x:cellStyle name="Normal" xfId="0"/>
  </x:cellStyles>
  <x:dxfs count="4">
    <x:dxf>
      <x:font>
        <x:b/>
        <x:color rgb="FF1F4E78"/>
      </x:font>
      <x:fill>
        <x:patternFill patternType="solid">
          <x:bgColor rgb="FFDDEBF7"/>
        </x:patternFill>
      </x:fill>
    </x:dxf>
    <x:dxf>
      <x:font>
        <x:b/>
        <x:color rgb="FF2F6B2F"/>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c2ca6e0ac84fdd" /><Relationship Type="http://schemas.openxmlformats.org/officeDocument/2006/relationships/theme" Target="/xl/theme/theme1.xml" Id="R80411e95c4ce47e7" /><Relationship Type="http://schemas.openxmlformats.org/officeDocument/2006/relationships/sharedStrings" Target="/xl/sharedStrings.xml" Id="Re92d460d16b54017" /><Relationship Type="http://schemas.openxmlformats.org/officeDocument/2006/relationships/worksheet" Target="/xl/worksheets/sheet1.xml" Id="Rfc9b28d1d5ba4923" /></Relationships>
</file>

<file path=xl/tables/table1.xml><?xml version="1.0" encoding="utf-8"?>
<x:table xmlns:x="http://schemas.openxmlformats.org/spreadsheetml/2006/main" id="1" name="ApplicationsTable" displayName="ApplicationsTable" ref="A9:W384" headerRowCount="1" totalsRowCount="0" totalsRowShown="0">
  <x:tableColumns count="23">
    <x:tableColumn id="1" name="Company"/>
    <x:tableColumn id="2" name="Job title"/>
    <x:tableColumn id="3" name="LinkedIn URL"/>
    <x:tableColumn id="4" name="Official application URL"/>
    <x:tableColumn id="5" name="Date posted"/>
    <x:tableColumn id="6" name="Date discovered"/>
    <x:tableColumn id="7" name="Application started"/>
    <x:tableColumn id="8" name="Application submitted"/>
    <x:tableColumn id="9" name="Application status"/>
    <x:tableColumn id="10" name="Salary minimum"/>
    <x:tableColumn id="11" name="Salary maximum"/>
    <x:tableColumn id="12" name="SOC code"/>
    <x:tableColumn id="13" name="SOC title"/>
    <x:tableColumn id="14" name="Wage level analysis"/>
    <x:tableColumn id="15" name="Preferred location selected"/>
    <x:tableColumn id="16" name="Other locations"/>
    <x:tableColumn id="17" name="Work mode"/>
    <x:tableColumn id="18" name="Sponsorship info"/>
    <x:tableColumn id="19" name="Fit rating"/>
    <x:tableColumn id="20" name="Fit rationale"/>
    <x:tableColumn id="21" name="Resume version used"/>
    <x:tableColumn id="22" name="Questions needing input"/>
    <x:tableColumn id="23"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84e801f1f7480b" /></Relationships>
</file>

<file path=xl/worksheets/sheet1.xml><?xml version="1.0" encoding="utf-8"?>
<x:worksheet xmlns:x="http://schemas.openxmlformats.org/spreadsheetml/2006/main">
  <x:sheetPr>
    <x:tabColor rgb="FF1F4E78"/>
  </x:sheetPr>
  <x:sheetViews>
    <x:sheetView showGridLines="0" workbookViewId="0">
      <x:pane xSplit="2" ySplit="9" topLeftCell="C10" activePane="bottomRight" state="frozen"/>
    </x:sheetView>
  </x:sheetViews>
  <x:sheetFormatPr defaultRowHeight="15"/>
  <x:cols>
    <x:col min="1" max="1" width="20" hidden="0" customWidth="1"/>
    <x:col min="2" max="2" width="30" hidden="0" customWidth="1"/>
    <x:col min="3" max="3" width="26" hidden="0" customWidth="1"/>
    <x:col min="4" max="4" width="28" hidden="0" customWidth="1"/>
    <x:col min="5" max="5" width="13" hidden="0" customWidth="1"/>
    <x:col min="6" max="6" width="13" hidden="0" customWidth="1"/>
    <x:col min="7" max="7" width="13" hidden="0" customWidth="1"/>
    <x:col min="8" max="8" width="13" hidden="0" customWidth="1"/>
    <x:col min="9" max="9" width="16" hidden="0" customWidth="1"/>
    <x:col min="10" max="10" width="15" hidden="0" customWidth="1"/>
    <x:col min="11" max="11" width="15" hidden="0" customWidth="1"/>
    <x:col min="12" max="12" width="12" hidden="0" customWidth="1"/>
    <x:col min="13" max="13" width="28" hidden="0" customWidth="1"/>
    <x:col min="14" max="14" width="42" hidden="0" customWidth="1"/>
    <x:col min="15" max="15" width="24" hidden="0" customWidth="1"/>
    <x:col min="16" max="16" width="28" hidden="0" customWidth="1"/>
    <x:col min="17" max="17" width="14" hidden="0" customWidth="1"/>
    <x:col min="18" max="18" width="24" hidden="0" customWidth="1"/>
    <x:col min="19" max="19" width="12" hidden="0" customWidth="1"/>
    <x:col min="20" max="20" width="44" hidden="0" customWidth="1"/>
    <x:col min="21" max="21" width="22" hidden="0" customWidth="1"/>
    <x:col min="22" max="22" width="38" hidden="0" customWidth="1"/>
    <x:col min="23" max="23" width="44" hidden="0" customWidth="1"/>
  </x:cols>
  <x:sheetData>
    <x:row r="2">
      <x:c r="A2" s="1" t="str">
        <x:v>Job application tracker</x:v>
      </x:c>
    </x:row>
    <x:row r="3">
      <x:c r="A3" s="2"/>
      <x:c r="B3" s="2"/>
      <x:c r="C3" s="2"/>
      <x:c r="D3" s="2"/>
      <x:c r="E3" s="2"/>
      <x:c r="F3" s="2"/>
      <x:c r="G3" s="2"/>
      <x:c r="H3" s="2"/>
      <x:c r="I3" s="2"/>
      <x:c r="J3" s="2"/>
      <x:c r="K3" s="2"/>
      <x:c r="L3" s="2"/>
      <x:c r="M3" s="2"/>
      <x:c r="N3" s="2"/>
      <x:c r="O3" s="2"/>
      <x:c r="P3" s="2"/>
      <x:c r="Q3" s="2"/>
      <x:c r="R3" s="2"/>
      <x:c r="S3" s="2"/>
      <x:c r="T3" s="2"/>
      <x:c r="U3" s="2"/>
      <x:c r="V3" s="2"/>
      <x:c r="W3" s="2"/>
    </x:row>
    <x:row r="5">
      <x:c r="A5" s="5" t="str">
        <x:v>Discovered</x:v>
      </x:c>
      <x:c r="B5" s="5" t="str">
        <x:v>In progress</x:v>
      </x:c>
      <x:c r="C5" s="5" t="str">
        <x:v>Ready</x:v>
      </x:c>
      <x:c r="D5" s="5" t="str">
        <x:v>Submitted</x:v>
      </x:c>
      <x:c r="E5" s="5" t="str">
        <x:v>Needs input</x:v>
      </x:c>
      <x:c r="F5" s="5" t="str">
        <x:v>Halted</x:v>
      </x:c>
      <x:c r="G5" s="5" t="str">
        <x:v>Total</x:v>
      </x:c>
      <x:c r="H5" s="5" t="str">
        <x:v>Last updated</x:v>
      </x:c>
    </x:row>
    <x:row r="6">
      <x:c r="A6" s="7" t="n">
        <x:f>COUNTIF($I$10:$I$509,"Discovered")</x:f>
        <x:v>0</x:v>
      </x:c>
      <x:c r="B6" s="7" t="n">
        <x:f>COUNTIF($I$10:$I$509,"In progress")</x:f>
        <x:v>0</x:v>
      </x:c>
      <x:c r="C6" s="7" t="n">
        <x:f>COUNTIF($I$10:$I$509,"Ready for application")</x:f>
        <x:v>0</x:v>
      </x:c>
      <x:c r="D6" s="7" t="n">
        <x:f>COUNTIF($I$10:$I$509,"Submitted")</x:f>
        <x:v>69</x:v>
      </x:c>
      <x:c r="E6" s="7" t="n">
        <x:f>COUNTIF($I$10:$I$509,"Needs input")</x:f>
        <x:v>58</x:v>
      </x:c>
      <x:c r="F6" s="7" t="n">
        <x:f>COUNTIF($I$10:$I$509,"Halted")</x:f>
        <x:v>233</x:v>
      </x:c>
      <x:c r="G6" s="7" t="n">
        <x:f>COUNTA($A$10:$A$509)</x:f>
        <x:v>375</x:v>
      </x:c>
      <x:c r="H6" s="8" t="n">
        <x:v>46286.60807541667</x:v>
      </x:c>
    </x:row>
    <x:row r="9" ht="34" customHeight="1">
      <x:c r="A9" s="20" t="str">
        <x:v>Company</x:v>
      </x:c>
      <x:c r="B9" s="21" t="str">
        <x:v>Job title</x:v>
      </x:c>
      <x:c r="C9" s="21" t="str">
        <x:v>LinkedIn URL</x:v>
      </x:c>
      <x:c r="D9" s="21" t="str">
        <x:v>Official application URL</x:v>
      </x:c>
      <x:c r="E9" s="21" t="str">
        <x:v>Date posted</x:v>
      </x:c>
      <x:c r="F9" s="21" t="str">
        <x:v>Date discovered</x:v>
      </x:c>
      <x:c r="G9" s="21" t="str">
        <x:v>Application started</x:v>
      </x:c>
      <x:c r="H9" s="21" t="str">
        <x:v>Application submitted</x:v>
      </x:c>
      <x:c r="I9" s="21" t="str">
        <x:v>Application status</x:v>
      </x:c>
      <x:c r="J9" s="21" t="str">
        <x:v>Salary minimum</x:v>
      </x:c>
      <x:c r="K9" s="21" t="str">
        <x:v>Salary maximum</x:v>
      </x:c>
      <x:c r="L9" s="21" t="str">
        <x:v>SOC code</x:v>
      </x:c>
      <x:c r="M9" s="21" t="str">
        <x:v>SOC title</x:v>
      </x:c>
      <x:c r="N9" s="21" t="str">
        <x:v>Wage level analysis</x:v>
      </x:c>
      <x:c r="O9" s="21" t="str">
        <x:v>Preferred location selected</x:v>
      </x:c>
      <x:c r="P9" s="21" t="str">
        <x:v>Other locations</x:v>
      </x:c>
      <x:c r="Q9" s="21" t="str">
        <x:v>Work mode</x:v>
      </x:c>
      <x:c r="R9" s="21" t="str">
        <x:v>Sponsorship info</x:v>
      </x:c>
      <x:c r="S9" s="21" t="str">
        <x:v>Fit rating</x:v>
      </x:c>
      <x:c r="T9" s="21" t="str">
        <x:v>Fit rationale</x:v>
      </x:c>
      <x:c r="U9" s="21" t="str">
        <x:v>Resume version used</x:v>
      </x:c>
      <x:c r="V9" s="21" t="str">
        <x:v>Questions needing input</x:v>
      </x:c>
      <x:c r="W9" s="22" t="str">
        <x:v>Notes</x:v>
      </x:c>
    </x:row>
    <x:row r="10">
      <x:c r="A10" s="28" t="str">
        <x:v>ActAI</x:v>
      </x:c>
      <x:c r="B10" s="28" t="str">
        <x:v>Applied AI Engineer</x:v>
      </x:c>
      <x:c r="C10" s="28" t="str">
        <x:v>https://www.linkedin.com/jobs/view/4462900999/</x:v>
      </x:c>
      <x:c r="D10" s="28" t="str">
        <x:v>https://jobs.ashbyhq.com/bjakcareer/2410bf26-de9e-471b-9a2c-5bfa2cad4d00/application</x:v>
      </x:c>
      <x:c r="E10" s="29" t="str">
        <x:v>2026-09-07</x:v>
      </x:c>
      <x:c r="F10" s="29" t="str">
        <x:v>2026-09-07</x:v>
      </x:c>
      <x:c r="G10" s="29" t="str">
        <x:v>2026-09-07</x:v>
      </x:c>
      <x:c r="H10" s="29" t="str">
        <x:v>2026-09-07</x:v>
      </x:c>
      <x:c r="I10" s="28" t="str">
        <x:v>Halted</x:v>
      </x:c>
      <x:c r="J10" s="30"/>
      <x:c r="K10" s="30"/>
      <x:c r="L10" s="28" t="str">
        <x:v>15-2051</x:v>
      </x:c>
      <x:c r="M10" s="28" t="str">
        <x:v>Data Scientists</x:v>
      </x:c>
      <x:c r="N10" s="31" t="str">
        <x:v>Remote U.S.; worksite and salary not disclosed, so location-specific wage comparison is pending.</x:v>
      </x:c>
      <x:c r="O10" s="31" t="str">
        <x:v>Remote U.S. (worksite pending)</x:v>
      </x:c>
      <x:c r="P10" s="31" t="str">
        <x:v>United States</x:v>
      </x:c>
      <x:c r="Q10" s="31" t="str">
        <x:v>Remote</x:v>
      </x:c>
      <x:c r="R10" s="31" t="str">
        <x:v>Not stated</x:v>
      </x:c>
      <x:c r="S10" s="31" t="str">
        <x:v>Strong</x:v>
      </x:c>
      <x:c r="T10" s="31" t="str">
        <x:v>Direct overlap with Python, LLM APIs, vLLM, agent workflows, evaluation systems, latency/cost optimization, and production orchestration. Gap: limited explicit PyTorch/JAX training experience.</x:v>
      </x:c>
      <x:c r="U10" s="31" t="str">
        <x:v>Yuxuan Chen Resume.pdf</x:v>
      </x:c>
      <x:c r="V10" s="31" t="str">
        <x:v>None</x:v>
      </x:c>
      <x:c r="W10" s="31" t="str">
        <x:v>Submitted successfully through Bjak/Ashby. Required recruitment-marketing consent accepted to complete submission. Answers: visa required; contributed to deployed ML systems; shipping/iteration preference; direct AI deployment/management; professional/fluent English. Resume and profile URLs attached.</x:v>
      </x:c>
    </x:row>
    <x:row r="11">
      <x:c r="A11" s="28" t="str">
        <x:v>Cisco</x:v>
      </x:c>
      <x:c r="B11" s="28" t="str">
        <x:v>Digital Solutions and Platform Engineer</x:v>
      </x:c>
      <x:c r="C11" s="28" t="str">
        <x:v>https://www.linkedin.com/jobs/view/4464086800/</x:v>
      </x:c>
      <x:c r="D11" s="28" t="str">
        <x:v>Pending - LinkedIn external redirect did not expose URL</x:v>
      </x:c>
      <x:c r="E11" s="29" t="str">
        <x:v>2026-09-07</x:v>
      </x:c>
      <x:c r="F11" s="29" t="str">
        <x:v>2026-09-07</x:v>
      </x:c>
      <x:c r="G11" s="29"/>
      <x:c r="H11" s="29"/>
      <x:c r="I11" s="28" t="str">
        <x:v>Halted</x:v>
      </x:c>
      <x:c r="J11" s="30" t="n">
        <x:v>116600</x:v>
      </x:c>
      <x:c r="K11" s="30" t="n">
        <x:v>147900</x:v>
      </x:c>
      <x:c r="L11" s="28" t="str">
        <x:v>15-1244</x:v>
      </x:c>
      <x:c r="M11" s="28" t="str">
        <x:v>Network and Computer Systems Administrators</x:v>
      </x:c>
      <x:c r="N11" s="31" t="str">
        <x:v>Boston-Cambridge-Newton 15-1244 levels: L1 $83,990; L2 $102,128; L3 $120,245; L4 $138,382. Posted minimum clears L2 but is below L3; maximum exceeds L4.</x:v>
      </x:c>
      <x:c r="O11" s="31" t="str">
        <x:v>Maynard, MA</x:v>
      </x:c>
      <x:c r="P11" s="31"/>
      <x:c r="Q11" s="31" t="str">
        <x:v>On-site, at least 3 days/week</x:v>
      </x:c>
      <x:c r="R11" s="31" t="str">
        <x:v>Not stated</x:v>
      </x:c>
      <x:c r="S11" s="31" t="str">
        <x:v>Low</x:v>
      </x:c>
      <x:c r="T11" s="31" t="str">
        <x:v>Requires 5+ years administering enterprise infrastructure and independent multi-domain troubleshooting; resume centers on software and AI systems with under two years of professional experience.</x:v>
      </x:c>
      <x:c r="U11" s="31" t="str">
        <x:v>Not used</x:v>
      </x:c>
      <x:c r="V11" s="31" t="str">
        <x:v>None</x:v>
      </x:c>
      <x:c r="W11" s="31" t="str">
        <x:v>Halted after full description review because the minimum experience and infrastructure specialization are not realistic matches.</x:v>
      </x:c>
    </x:row>
    <x:row r="12">
      <x:c r="A12" s="28" t="str">
        <x:v>Haystack partner (undisclosed defense employer)</x:v>
      </x:c>
      <x:c r="B12" s="28" t="str">
        <x:v>Junior Software Engineer</x:v>
      </x:c>
      <x:c r="C12" s="28" t="str">
        <x:v>https://www.linkedin.com/jobs/view/4462910339/</x:v>
      </x:c>
      <x:c r="D12" s="28" t="str">
        <x:v>https://haystack.cv/apply/54ee80af-c945-4891-8303-9ddcaa28a292?src=onboarded</x:v>
      </x:c>
      <x:c r="E12" s="29" t="str">
        <x:v>2026-09-07</x:v>
      </x:c>
      <x:c r="F12" s="29" t="str">
        <x:v>2026-09-07</x:v>
      </x:c>
      <x:c r="G12" s="29"/>
      <x:c r="H12" s="29"/>
      <x:c r="I12" s="28" t="str">
        <x:v>Halted</x:v>
      </x:c>
      <x:c r="J12" s="30" t="n">
        <x:v>69550</x:v>
      </x:c>
      <x:c r="K12" s="30" t="n">
        <x:v>125725</x:v>
      </x:c>
      <x:c r="L12" s="28" t="str">
        <x:v>15-1252</x:v>
      </x:c>
      <x:c r="M12" s="28" t="str">
        <x:v>Software Developers</x:v>
      </x:c>
      <x:c r="N12" s="31" t="str">
        <x:v>Remote listing does not identify the employing worksite, so no defensible location-specific wage level can be selected. Salary may clear lower levels in some areas but not others.</x:v>
      </x:c>
      <x:c r="O12" s="31" t="str">
        <x:v>Remote U.S. (worksite undisclosed)</x:v>
      </x:c>
      <x:c r="P12" s="31" t="str">
        <x:v>United States</x:v>
      </x:c>
      <x:c r="Q12" s="31" t="str">
        <x:v>Remote</x:v>
      </x:c>
      <x:c r="R12" s="31" t="str">
        <x:v>Incompatible signal: ability to obtain and maintain a U.S. security clearance is required.</x:v>
      </x:c>
      <x:c r="S12" s="31" t="str">
        <x:v>Low</x:v>
      </x:c>
      <x:c r="T12" s="31" t="str">
        <x:v>Python and software background match partially, but the role requires proven C++ and security-clearance eligibility for defense/intelligence work.</x:v>
      </x:c>
      <x:c r="U12" s="31" t="str">
        <x:v>Not used</x:v>
      </x:c>
      <x:c r="V12" s="31" t="str">
        <x:v>None</x:v>
      </x:c>
      <x:c r="W12" s="31" t="str">
        <x:v>Halted after full description review because the clearance requirement and C++ specialization conflict with the current profile and H-1B-oriented search.</x:v>
      </x:c>
    </x:row>
    <x:row r="13">
      <x:c r="A13" s="28" t="str">
        <x:v>Jobgether partner (undisclosed fintech SaaS)</x:v>
      </x:c>
      <x:c r="B13" s="28" t="str">
        <x:v>Staff Fullstack Engineer</x:v>
      </x:c>
      <x:c r="C13" s="28" t="str">
        <x:v>https://www.linkedin.com/jobs/view/4462912672/</x:v>
      </x:c>
      <x:c r="D13" s="28" t="str">
        <x:v>LinkedIn Apply</x:v>
      </x:c>
      <x:c r="E13" s="29" t="str">
        <x:v>2026-09-07</x:v>
      </x:c>
      <x:c r="F13" s="29" t="str">
        <x:v>2026-09-07</x:v>
      </x:c>
      <x:c r="G13" s="29"/>
      <x:c r="H13" s="29"/>
      <x:c r="I13" s="28" t="str">
        <x:v>Halted</x:v>
      </x:c>
      <x:c r="J13" s="30" t="n">
        <x:v>185000</x:v>
      </x:c>
      <x:c r="K13" s="30" t="n">
        <x:v>240000</x:v>
      </x:c>
      <x:c r="L13" s="28" t="str">
        <x:v>15-1252</x:v>
      </x:c>
      <x:c r="M13" s="28" t="str">
        <x:v>Software Developers</x:v>
      </x:c>
      <x:c r="N13" s="31" t="str">
        <x:v>Remote U.S./Canada with unspecified worksite; salary is high enough to exceed typical upper software-developer wage levels, but role seniority is disqualifying.</x:v>
      </x:c>
      <x:c r="O13" s="31" t="str">
        <x:v>Remote U.S.</x:v>
      </x:c>
      <x:c r="P13" s="31" t="str">
        <x:v>Canada</x:v>
      </x:c>
      <x:c r="Q13" s="31" t="str">
        <x:v>Remote</x:v>
      </x:c>
      <x:c r="R13" s="31" t="str">
        <x:v>Visa sponsorship available</x:v>
      </x:c>
      <x:c r="S13" s="31" t="str">
        <x:v>Low</x:v>
      </x:c>
      <x:c r="T13" s="31" t="str">
        <x:v>Requires 8+ years, 3+ years of architecture work, and staff-level leadership; current profile is early-career.</x:v>
      </x:c>
      <x:c r="U13" s="31" t="str">
        <x:v>Not used</x:v>
      </x:c>
      <x:c r="V13" s="31" t="str">
        <x:v>None</x:v>
      </x:c>
      <x:c r="W13" s="31" t="str">
        <x:v>Halted after full review because seniority requirements are not realistic despite sponsorship availability.</x:v>
      </x:c>
    </x:row>
    <x:row r="14">
      <x:c r="A14" s="28" t="str">
        <x:v>SWAKIO</x:v>
      </x:c>
      <x:c r="B14" s="28" t="str">
        <x:v>Full Stack Engineer</x:v>
      </x:c>
      <x:c r="C14" s="28" t="str">
        <x:v>https://www.linkedin.com/jobs/view/4461860740/</x:v>
      </x:c>
      <x:c r="D14" s="28" t="str">
        <x:v>https://www.linkedin.com/jobs/view/4461860740/apply/?openSDUIApplyFlow=true</x:v>
      </x:c>
      <x:c r="E14" s="29" t="str">
        <x:v>2026-09-07</x:v>
      </x:c>
      <x:c r="F14" s="29" t="str">
        <x:v>2026-09-07</x:v>
      </x:c>
      <x:c r="G14" s="29" t="str">
        <x:v>2026-09-07</x:v>
      </x:c>
      <x:c r="H14" s="29" t="str">
        <x:v>2026-09-07</x:v>
      </x:c>
      <x:c r="I14" s="28" t="str">
        <x:v>Submitted</x:v>
      </x:c>
      <x:c r="J14" s="30"/>
      <x:c r="K14" s="30"/>
      <x:c r="L14" s="28" t="str">
        <x:v>15-1252</x:v>
      </x:c>
      <x:c r="M14" s="28" t="str">
        <x:v>Software Developers</x:v>
      </x:c>
      <x:c r="N14" s="31" t="str">
        <x:v>Remote U.S.; salary and worksite are not disclosed, so location-specific wage compliance cannot yet be assessed.</x:v>
      </x:c>
      <x:c r="O14" s="31" t="str">
        <x:v>Remote U.S. (worksite pending)</x:v>
      </x:c>
      <x:c r="P14" s="31" t="str">
        <x:v>United States</x:v>
      </x:c>
      <x:c r="Q14" s="31" t="str">
        <x:v>Remote</x:v>
      </x:c>
      <x:c r="R14" s="31" t="str">
        <x:v>Not stated</x:v>
      </x:c>
      <x:c r="S14" s="31" t="str">
        <x:v>Moderate</x:v>
      </x:c>
      <x:c r="T14" s="31" t="str">
        <x:v>Strong overlap with React, TypeScript, PostgreSQL, REST APIs, Docker, and AWS/GCP. Stretch points are 2–3+ years of professional experience and 1+ year of Next.js.</x:v>
      </x:c>
      <x:c r="U14" s="31" t="str">
        <x:v>Yuxuan Chen Resume.pdf</x:v>
      </x:c>
      <x:c r="V14" s="31" t="str">
        <x:v>LinkedIn's required mobile-phone control is not accepting automated entry; manual completion may be needed if the form remains blocked.</x:v>
      </x:c>
      <x:c r="W14" s="31" t="str">
        <x:v>LinkedIn Apply contact step opened. Email and country code are selected, but repeated phone-number entry attempts did not persist, so Next cannot advance.</x:v>
      </x:c>
    </x:row>
    <x:row r="15">
      <x:c r="A15" s="28" t="str">
        <x:v>ActAI</x:v>
      </x:c>
      <x:c r="B15" s="28" t="str">
        <x:v>LLM Application Engineer</x:v>
      </x:c>
      <x:c r="C15" s="28" t="str">
        <x:v>https://www.linkedin.com/jobs/view/4462923598/</x:v>
      </x:c>
      <x:c r="D15" s="28" t="str">
        <x:v>https://jobs.ashbyhq.com/bjakcareer/00f1597f-1059-4d3f-b20e-f2aeaa828278/application</x:v>
      </x:c>
      <x:c r="E15" s="29" t="str">
        <x:v>2026-09-07</x:v>
      </x:c>
      <x:c r="F15" s="29" t="str">
        <x:v>2026-09-07</x:v>
      </x:c>
      <x:c r="G15" s="29" t="str">
        <x:v>2026-09-07</x:v>
      </x:c>
      <x:c r="H15" s="29" t="str">
        <x:v>2026-09-07</x:v>
      </x:c>
      <x:c r="I15" s="28" t="str">
        <x:v>Submitted</x:v>
      </x:c>
      <x:c r="J15" s="30"/>
      <x:c r="K15" s="30"/>
      <x:c r="L15" s="28" t="str">
        <x:v>15-1299</x:v>
      </x:c>
      <x:c r="M15" s="28" t="str">
        <x:v>Computer Occupations, All Other</x:v>
      </x:c>
      <x:c r="N15" s="31" t="str">
        <x:v>Remote U.S.; salary and worksite are not disclosed, so location-specific prevailing-wage comparison is pending.</x:v>
      </x:c>
      <x:c r="O15" s="31" t="str">
        <x:v>Remote U.S. (worksite pending)</x:v>
      </x:c>
      <x:c r="P15" s="31" t="str">
        <x:v>United States</x:v>
      </x:c>
      <x:c r="Q15" s="31" t="str">
        <x:v>Remote</x:v>
      </x:c>
      <x:c r="R15" s="31" t="str">
        <x:v>Not stated</x:v>
      </x:c>
      <x:c r="S15" s="31" t="str">
        <x:v>Very strong</x:v>
      </x:c>
      <x:c r="T15" s="31" t="str">
        <x:v>Direct match for Python, LLM APIs, agent workflows, tools/memory/planning, RAG, databases, backend APIs, evaluation frameworks, observability, latency, and cost optimization.</x:v>
      </x:c>
      <x:c r="U15" s="31" t="str">
        <x:v>Yuxuan Chen Resume.pdf</x:v>
      </x:c>
      <x:c r="V15" s="31" t="str">
        <x:v>None</x:v>
      </x:c>
      <x:c r="W15" s="31" t="str">
        <x:v>Submitted successfully through Bjak/Ashby with resume, contact details, profile URLs, visa required, mandatory consent, and truthful screening answers.</x:v>
      </x:c>
    </x:row>
    <x:row r="16">
      <x:c r="A16" s="28" t="str">
        <x:v>Hired / Turing client</x:v>
      </x:c>
      <x:c r="B16" s="28" t="str">
        <x:v>Python Engineer (Remote)</x:v>
      </x:c>
      <x:c r="C16" s="28" t="str">
        <x:v>https://www.linkedin.com/jobs/view/4464067768/</x:v>
      </x:c>
      <x:c r="D16" s="28" t="str">
        <x:v>https://work.turing.com/r/J5KrdpP68J</x:v>
      </x:c>
      <x:c r="E16" s="29" t="str">
        <x:v>2026-09-07</x:v>
      </x:c>
      <x:c r="F16" s="29" t="str">
        <x:v>2026-09-07</x:v>
      </x:c>
      <x:c r="G16" s="29"/>
      <x:c r="H16" s="29"/>
      <x:c r="I16" s="28" t="str">
        <x:v>Halted</x:v>
      </x:c>
      <x:c r="J16" s="30"/>
      <x:c r="K16" s="30"/>
      <x:c r="L16" s="28" t="str">
        <x:v>15-2051</x:v>
      </x:c>
      <x:c r="M16" s="28" t="str">
        <x:v>Data Scientists</x:v>
      </x:c>
      <x:c r="N16" s="31" t="str">
        <x:v>Remote worksite and salary are undisclosed; prevailing-wage compatibility cannot be established.</x:v>
      </x:c>
      <x:c r="O16" s="31" t="str">
        <x:v>Remote (NAMER)</x:v>
      </x:c>
      <x:c r="P16" s="31" t="str">
        <x:v>Work from anywhere</x:v>
      </x:c>
      <x:c r="Q16" s="31" t="str">
        <x:v>Remote</x:v>
      </x:c>
      <x:c r="R16" s="31" t="str">
        <x:v>Not stated</x:v>
      </x:c>
      <x:c r="S16" s="31" t="str">
        <x:v>Low to moderate</x:v>
      </x:c>
      <x:c r="T16" s="31" t="str">
        <x:v>Python and LLM evaluation align, but the description explicitly seeks a Senior Python Developer with supervised fine-tuning and RLHF experience not shown on the resume.</x:v>
      </x:c>
      <x:c r="U16" s="31" t="str">
        <x:v>Not used</x:v>
      </x:c>
      <x:c r="V16" s="31" t="str">
        <x:v>None</x:v>
      </x:c>
      <x:c r="W16" s="31" t="str">
        <x:v>Halted after full review due seniority and missing SFT/RLHF requirements.</x:v>
      </x:c>
    </x:row>
    <x:row r="17">
      <x:c r="A17" s="28" t="str">
        <x:v>Coforge</x:v>
      </x:c>
      <x:c r="B17" s="28" t="str">
        <x:v>Associate Forward Deployed Engineer</x:v>
      </x:c>
      <x:c r="C17" s="28" t="str">
        <x:v>https://www.linkedin.com/jobs/view/4462907687/</x:v>
      </x:c>
      <x:c r="D17" s="28" t="str">
        <x:v>https://www.linkedin.com/jobs/view/4462907687/apply/?openSDUIApplyFlow=true</x:v>
      </x:c>
      <x:c r="E17" s="29" t="str">
        <x:v>2026-09-07</x:v>
      </x:c>
      <x:c r="F17" s="29" t="str">
        <x:v>2026-09-07</x:v>
      </x:c>
      <x:c r="G17" s="29" t="str">
        <x:v>2026-09-07</x:v>
      </x:c>
      <x:c r="H17" s="29" t="str">
        <x:v>2026-09-07</x:v>
      </x:c>
      <x:c r="I17" s="28" t="str">
        <x:v>Halted</x:v>
      </x:c>
      <x:c r="J17" s="30"/>
      <x:c r="K17" s="30"/>
      <x:c r="L17" s="28" t="str">
        <x:v>15-2051</x:v>
      </x:c>
      <x:c r="M17" s="28" t="str">
        <x:v>Data Scientists</x:v>
      </x:c>
      <x:c r="N17" s="31" t="str">
        <x:v>Princeton, NJ on-site; salary is not disclosed, so final prevailing-wage compatibility cannot be confirmed before an offer. Role duties align most closely with applied AI/data-science engineering.</x:v>
      </x:c>
      <x:c r="O17" s="31" t="str">
        <x:v>Princeton, NJ</x:v>
      </x:c>
      <x:c r="P17" s="31"/>
      <x:c r="Q17" s="31" t="str">
        <x:v>On-site</x:v>
      </x:c>
      <x:c r="R17" s="31" t="str">
        <x:v>Not stated</x:v>
      </x:c>
      <x:c r="S17" s="31" t="str">
        <x:v>Very strong</x:v>
      </x:c>
      <x:c r="T17" s="31" t="str">
        <x:v>Explicitly targets 0–2 years and recent U.S. graduates; direct overlap with Python, LLM APIs, RAG, agentic systems, evals, Docker, cloud, TypeScript, and client-facing technical communication.</x:v>
      </x:c>
      <x:c r="U17" s="31" t="str">
        <x:v>Yuxuan Chen Resume.pdf</x:v>
      </x:c>
      <x:c r="V17" s="31" t="str">
        <x:v>None. The extended Berribot interview link expired on 2026-09-20 at 6:00 PM.</x:v>
      </x:c>
      <x:c r="W17" s="31" t="str">
        <x:v>Application submission was confirmed by Coforge/Berribot follow-up. Interview invitation received 2026-09-09; reminder received 2026-09-10. The required camera/microphone-proctored Berri Mastermind interview window ended 2026-09-11 at 5:00 PM and is now expired. Role: Associate Forward Deployed AI Engineer v2.0. Email update reviewed 2026-09-21. Coforge/Berribot extended interview access on 2026-09-17, but the link was valid only until 2026-09-20 at 6:00 PM and is now expired.</x:v>
      </x:c>
    </x:row>
    <x:row r="18">
      <x:c r="A18" s="28" t="str">
        <x:v>ActAI</x:v>
      </x:c>
      <x:c r="B18" s="28" t="str">
        <x:v>Software Engineer, Desktop</x:v>
      </x:c>
      <x:c r="C18" s="28" t="str">
        <x:v>https://www.linkedin.com/jobs/view/4462904658/</x:v>
      </x:c>
      <x:c r="D18" s="28" t="str">
        <x:v>Pending external redirect</x:v>
      </x:c>
      <x:c r="E18" s="29" t="str">
        <x:v>2026-09-07</x:v>
      </x:c>
      <x:c r="F18" s="29" t="str">
        <x:v>2026-09-07</x:v>
      </x:c>
      <x:c r="G18" s="29"/>
      <x:c r="H18" s="29"/>
      <x:c r="I18" s="28" t="str">
        <x:v>Halted</x:v>
      </x:c>
      <x:c r="J18" s="30"/>
      <x:c r="K18" s="30"/>
      <x:c r="L18" s="28" t="str">
        <x:v>15-1252</x:v>
      </x:c>
      <x:c r="M18" s="28" t="str">
        <x:v>Software Developers</x:v>
      </x:c>
      <x:c r="N18" s="31" t="str">
        <x:v>Palo Alto, CA hybrid; salary is undisclosed, so wage-level compatibility cannot be confirmed.</x:v>
      </x:c>
      <x:c r="O18" s="31" t="str">
        <x:v>Palo Alto, CA</x:v>
      </x:c>
      <x:c r="P18" s="31"/>
      <x:c r="Q18" s="31" t="str">
        <x:v>Hybrid</x:v>
      </x:c>
      <x:c r="R18" s="31" t="str">
        <x:v>Not stated</x:v>
      </x:c>
      <x:c r="S18" s="31" t="str">
        <x:v>Low to moderate</x:v>
      </x:c>
      <x:c r="T18" s="31" t="str">
        <x:v>React and TypeScript align, but production Electron, IPC, native desktop lifecycle, local storage, WebSockets, and desktop profiling are central requirements not established by the resume.</x:v>
      </x:c>
      <x:c r="U18" s="31" t="str">
        <x:v>Not used</x:v>
      </x:c>
      <x:c r="V18" s="31" t="str">
        <x:v>None</x:v>
      </x:c>
      <x:c r="W18" s="31" t="str">
        <x:v>Halted after full review because desktop/Electron specialization makes this substantially weaker than the applied-AI openings.</x:v>
      </x:c>
    </x:row>
    <x:row r="19">
      <x:c r="A19" s="28" t="str">
        <x:v>Success Slice Singapore</x:v>
      </x:c>
      <x:c r="B19" s="28" t="str">
        <x:v>AI Engineer</x:v>
      </x:c>
      <x:c r="C19" s="28" t="str">
        <x:v>https://www.linkedin.com/jobs/view/4464076984/</x:v>
      </x:c>
      <x:c r="D19" s="28" t="str">
        <x:v>https://www.linkedin.com/jobs/view/4464076984/apply/?openSDUIApplyFlow=true</x:v>
      </x:c>
      <x:c r="E19" s="29" t="str">
        <x:v>2026-09-07</x:v>
      </x:c>
      <x:c r="F19" s="29" t="str">
        <x:v>2026-09-07</x:v>
      </x:c>
      <x:c r="G19" s="29"/>
      <x:c r="H19" s="29"/>
      <x:c r="I19" s="28" t="str">
        <x:v>Halted</x:v>
      </x:c>
      <x:c r="J19" s="30"/>
      <x:c r="K19" s="30"/>
      <x:c r="L19" s="28" t="str">
        <x:v>15-2051</x:v>
      </x:c>
      <x:c r="M19" s="28" t="str">
        <x:v>Data Scientists</x:v>
      </x:c>
      <x:c r="N19" s="31" t="str">
        <x:v>Remote New York; salary and actual worksite are undisclosed, so location-specific prevailing-wage compatibility is pending.</x:v>
      </x:c>
      <x:c r="O19" s="31" t="str">
        <x:v>New York remote</x:v>
      </x:c>
      <x:c r="P19" s="31"/>
      <x:c r="Q19" s="31" t="str">
        <x:v>Remote</x:v>
      </x:c>
      <x:c r="R19" s="31" t="str">
        <x:v>Not stated</x:v>
      </x:c>
      <x:c r="S19" s="31" t="str">
        <x:v>Strong technical fit; employer verification pending</x:v>
      </x:c>
      <x:c r="T19" s="31" t="str">
        <x:v>Python, ML evaluation, APIs, databases, cloud, deployment, and applied AI experience align well; posting is broad and lacks concrete team/product detail.</x:v>
      </x:c>
      <x:c r="U19" s="31" t="str">
        <x:v>Not used yet</x:v>
      </x:c>
      <x:c r="V19" s="31" t="str">
        <x:v>None from candidate; the agent must re-check the full description, employer quality, salary and sponsorship.</x:v>
      </x:c>
      <x:c r="W19" s="31" t="str">
        <x:v>Queue-audit correction: this application was never submitted and is not under employer review. It is queued for agent-side verification.</x:v>
      </x:c>
    </x:row>
    <x:row r="20">
      <x:c r="A20" s="28" t="str">
        <x:v>Hewlett Packard Enterprise</x:v>
      </x:c>
      <x:c r="B20" s="28" t="str">
        <x:v>HPC AI Systems Administrator Intern</x:v>
      </x:c>
      <x:c r="C20" s="28" t="str">
        <x:v>https://www.linkedin.com/jobs/view/4464080927/</x:v>
      </x:c>
      <x:c r="D20" s="28" t="str">
        <x:v>Pending external redirect</x:v>
      </x:c>
      <x:c r="E20" s="29" t="str">
        <x:v>2026-09-07</x:v>
      </x:c>
      <x:c r="F20" s="29" t="str">
        <x:v>2026-09-07</x:v>
      </x:c>
      <x:c r="G20" s="29"/>
      <x:c r="H20" s="29"/>
      <x:c r="I20" s="28" t="str">
        <x:v>Halted</x:v>
      </x:c>
      <x:c r="J20" s="30"/>
      <x:c r="K20" s="30"/>
      <x:c r="L20" s="28" t="str">
        <x:v>15-1244</x:v>
      </x:c>
      <x:c r="M20" s="28" t="str">
        <x:v>Network and Computer Systems Administrators</x:v>
      </x:c>
      <x:c r="N20" s="31" t="str">
        <x:v>The listing header says Bloomington, MN, but the full description requires fully on-site work in Chippewa Falls, WI; salary is undisclosed and the location conflict prevents reliable wage analysis.</x:v>
      </x:c>
      <x:c r="O20" s="31" t="str">
        <x:v>Chippewa Falls, WI</x:v>
      </x:c>
      <x:c r="P20" s="31" t="str">
        <x:v>LinkedIn header: Bloomington, MN</x:v>
      </x:c>
      <x:c r="Q20" s="31" t="str">
        <x:v>Fully on-site per full description</x:v>
      </x:c>
      <x:c r="R20" s="31" t="str">
        <x:v>Not stated</x:v>
      </x:c>
      <x:c r="S20" s="31" t="str">
        <x:v>Low to moderate</x:v>
      </x:c>
      <x:c r="T20" s="31" t="str">
        <x:v>Python, Git, cloud/HPC exposure and student status align partially, but the role is primarily Linux systems administration, security monitoring, vulnerability scanning, and networking rather than software/AI engineering.</x:v>
      </x:c>
      <x:c r="U20" s="31" t="str">
        <x:v>Not used</x:v>
      </x:c>
      <x:c r="V20" s="31" t="str">
        <x:v>None</x:v>
      </x:c>
      <x:c r="W20" s="31" t="str">
        <x:v>Halted after full review due specialization mismatch and conflicting advertised versus required location.</x:v>
      </x:c>
    </x:row>
    <x:row r="21">
      <x:c r="A21" s="28" t="str">
        <x:v>BotStacks</x:v>
      </x:c>
      <x:c r="B21" s="28" t="str">
        <x:v>AI Growth Engineering Intern — Full-Stack &amp; Automation</x:v>
      </x:c>
      <x:c r="C21" s="28" t="str">
        <x:v>https://www.linkedin.com/jobs/view/4462917698/</x:v>
      </x:c>
      <x:c r="D21" s="28" t="str">
        <x:v>https://www.linkedin.com/jobs/view/4462917698/apply/?openSDUIApplyFlow=true</x:v>
      </x:c>
      <x:c r="E21" s="29" t="str">
        <x:v>2026-09-07</x:v>
      </x:c>
      <x:c r="F21" s="29" t="str">
        <x:v>2026-09-07</x:v>
      </x:c>
      <x:c r="G21" s="29"/>
      <x:c r="H21" s="29"/>
      <x:c r="I21" s="28" t="str">
        <x:v>Halted</x:v>
      </x:c>
      <x:c r="J21" s="30"/>
      <x:c r="K21" s="30"/>
      <x:c r="L21" s="28" t="str">
        <x:v>15-1252</x:v>
      </x:c>
      <x:c r="M21" s="28" t="str">
        <x:v>Software Developers</x:v>
      </x:c>
      <x:c r="N21" s="31" t="str">
        <x:v>Remote Greater Reno Area; salary and employing worksite are not disclosed.</x:v>
      </x:c>
      <x:c r="O21" s="31" t="str">
        <x:v>Remote — Greater Reno Area</x:v>
      </x:c>
      <x:c r="P21" s="31"/>
      <x:c r="Q21" s="31" t="str">
        <x:v>Remote internship</x:v>
      </x:c>
      <x:c r="R21" s="31" t="str">
        <x:v>Not stated</x:v>
      </x:c>
      <x:c r="S21" s="31" t="str">
        <x:v>Potentially strong; description unavailable</x:v>
      </x:c>
      <x:c r="T21" s="31" t="str">
        <x:v>Title aligns with full-stack, AI, browser automation, and current student status, but LinkedIn did not expose the job-description content during review.</x:v>
      </x:c>
      <x:c r="U21" s="31" t="str">
        <x:v>Not used yet</x:v>
      </x:c>
      <x:c r="V21" s="31" t="str">
        <x:v>None from candidate; the agent must re-check the full description, employer quality, salary and sponsorship.</x:v>
      </x:c>
      <x:c r="W21" s="31" t="str">
        <x:v>Queue-audit correction: this application was never submitted and is not under employer review. It is queued for agent-side verification.</x:v>
      </x:c>
    </x:row>
    <x:row r="22">
      <x:c r="A22" s="28" t="str">
        <x:v>Haystack partner (undisclosed employer)</x:v>
      </x:c>
      <x:c r="B22" s="28" t="str">
        <x:v>Software Engineer</x:v>
      </x:c>
      <x:c r="C22" s="28" t="str">
        <x:v>https://www.linkedin.com/jobs/view/4462912762/</x:v>
      </x:c>
      <x:c r="D22" s="28" t="str">
        <x:v>Pending Haystack redirect</x:v>
      </x:c>
      <x:c r="E22" s="29" t="str">
        <x:v>2026-09-07</x:v>
      </x:c>
      <x:c r="F22" s="29" t="str">
        <x:v>2026-09-07</x:v>
      </x:c>
      <x:c r="G22" s="29"/>
      <x:c r="H22" s="29"/>
      <x:c r="I22" s="28" t="str">
        <x:v>Halted</x:v>
      </x:c>
      <x:c r="J22" s="30" t="n">
        <x:v>100000</x:v>
      </x:c>
      <x:c r="K22" s="30" t="n">
        <x:v>170500</x:v>
      </x:c>
      <x:c r="L22" s="28" t="str">
        <x:v>15-1252</x:v>
      </x:c>
      <x:c r="M22" s="28" t="str">
        <x:v>Software Developers</x:v>
      </x:c>
      <x:c r="N22" s="31" t="str">
        <x:v>Remote U.S. worksite is unspecified; posted salary may satisfy lower levels in many markets, but location-specific compliance cannot be confirmed.</x:v>
      </x:c>
      <x:c r="O22" s="31" t="str">
        <x:v>Remote U.S.</x:v>
      </x:c>
      <x:c r="P22" s="31"/>
      <x:c r="Q22" s="31" t="str">
        <x:v>Remote</x:v>
      </x:c>
      <x:c r="R22" s="31" t="str">
        <x:v>Not stated</x:v>
      </x:c>
      <x:c r="S22" s="31" t="str">
        <x:v>Low</x:v>
      </x:c>
      <x:c r="T22" s="31" t="str">
        <x:v>Requires 5+ years plus Kubernetes, messaging queues and Infrastructure as Code; current profile is early-career.</x:v>
      </x:c>
      <x:c r="U22" s="31" t="str">
        <x:v>Not used</x:v>
      </x:c>
      <x:c r="V22" s="31" t="str">
        <x:v>None</x:v>
      </x:c>
      <x:c r="W22" s="31" t="str">
        <x:v>Halted after full description review due unrealistic experience threshold.</x:v>
      </x:c>
    </x:row>
    <x:row r="23">
      <x:c r="A23" s="28" t="str">
        <x:v>NVIDIA (reposted by GigFinder.ai)</x:v>
      </x:c>
      <x:c r="B23" s="28" t="str">
        <x:v>Frontend Web Software Engineer, NGC</x:v>
      </x:c>
      <x:c r="C23" s="28" t="str">
        <x:v>https://www.linkedin.com/jobs/view/4462919643/</x:v>
      </x:c>
      <x:c r="D23" s="28" t="str">
        <x:v>Pending NVIDIA redirect</x:v>
      </x:c>
      <x:c r="E23" s="29" t="str">
        <x:v>2026-09-07</x:v>
      </x:c>
      <x:c r="F23" s="29" t="str">
        <x:v>2026-09-07</x:v>
      </x:c>
      <x:c r="G23" s="29"/>
      <x:c r="H23" s="29"/>
      <x:c r="I23" s="28" t="str">
        <x:v>Halted</x:v>
      </x:c>
      <x:c r="J23" s="30" t="n">
        <x:v>152000</x:v>
      </x:c>
      <x:c r="K23" s="30" t="n">
        <x:v>241500</x:v>
      </x:c>
      <x:c r="L23" s="28" t="str">
        <x:v>15-1252</x:v>
      </x:c>
      <x:c r="M23" s="28" t="str">
        <x:v>Software Developers</x:v>
      </x:c>
      <x:c r="N23" s="31" t="str">
        <x:v>Indiana location; salary range is likely above lower prevailing-wage levels, but the role's seniority requirement is disqualifying before location selection.</x:v>
      </x:c>
      <x:c r="O23" s="31" t="str">
        <x:v>Indiana</x:v>
      </x:c>
      <x:c r="P23" s="31" t="str">
        <x:v>NVIDIA variants listed in NY, CA, NC, VA and TX</x:v>
      </x:c>
      <x:c r="Q23" s="31" t="str">
        <x:v>On-site</x:v>
      </x:c>
      <x:c r="R23" s="31" t="str">
        <x:v>Not stated</x:v>
      </x:c>
      <x:c r="S23" s="31" t="str">
        <x:v>Low</x:v>
      </x:c>
      <x:c r="T23" s="31" t="str">
        <x:v>React/TypeScript/Python/cloud skills align, but the role explicitly requires at least 5 years and project-level frontend leadership.</x:v>
      </x:c>
      <x:c r="U23" s="31" t="str">
        <x:v>Not used</x:v>
      </x:c>
      <x:c r="V23" s="31" t="str">
        <x:v>None</x:v>
      </x:c>
      <x:c r="W23" s="31" t="str">
        <x:v>Halted after full review due 5+ year minimum.</x:v>
      </x:c>
    </x:row>
    <x:row r="24">
      <x:c r="A24" s="28" t="str">
        <x:v>Medallion</x:v>
      </x:c>
      <x:c r="B24" s="28" t="str">
        <x:v>Software Engineer</x:v>
      </x:c>
      <x:c r="C24" s="28" t="str">
        <x:v>https://www.linkedin.com/jobs/view/4435231668/</x:v>
      </x:c>
      <x:c r="D24" s="28" t="str">
        <x:v>https://www.linkedin.com/jobs/view/4435231668/apply/?openSDUIApplyFlow=true</x:v>
      </x:c>
      <x:c r="E24" s="29" t="str">
        <x:v>LinkedIn reposted 2026-09-06</x:v>
      </x:c>
      <x:c r="F24" s="29" t="str">
        <x:v>2026-09-08</x:v>
      </x:c>
      <x:c r="G24" s="29" t="str">
        <x:v>2026-09-10</x:v>
      </x:c>
      <x:c r="H24" s="29" t="str">
        <x:v>2026-09-10</x:v>
      </x:c>
      <x:c r="I24" s="28" t="str">
        <x:v>Submitted</x:v>
      </x:c>
      <x:c r="J24" s="30" t="n">
        <x:v>145000</x:v>
      </x:c>
      <x:c r="K24" s="30" t="n">
        <x:v>175000</x:v>
      </x:c>
      <x:c r="L24" s="28" t="str">
        <x:v>15-1252</x:v>
      </x:c>
      <x:c r="M24" s="28" t="str">
        <x:v>Software Developers</x:v>
      </x:c>
      <x:c r="N24" s="31" t="str">
        <x:v>San Francisco-Oakland-Fremont Level 1 is $137,093, Level 2 is $165,131, Level 3 is $193,149 and Level 4 is $221,187. The entire $145,000-$175,000 range clears Level 1; offers from $165,131 clear Level 2. Pay may vary by geographic location.</x:v>
      </x:c>
      <x:c r="O24" s="31" t="str">
        <x:v>San Francisco, CA (remote listing)</x:v>
      </x:c>
      <x:c r="P24" s="31" t="str">
        <x:v>Remote; exact eligible states are not listed</x:v>
      </x:c>
      <x:c r="Q24" s="31" t="str">
        <x:v>Remote</x:v>
      </x:c>
      <x:c r="R24" s="31" t="str">
        <x:v>The complete posting does not state a sponsorship restriction. Later LinkedIn Easy Apply questions remain unknown until the contact-information step is completed.</x:v>
      </x:c>
      <x:c r="S24" s="31" t="str">
        <x:v>Strong but experience-stretch</x:v>
      </x:c>
      <x:c r="T24" s="31" t="str">
        <x:v>Python, backend services, React, JavaScript, TypeScript, cross-functional product development and shipping production systems align well. The main gap is the requirement for 2+ years of software engineering experience and expectations to lead large projects and mentor others.</x:v>
      </x:c>
      <x:c r="U24" s="31" t="str">
        <x:v>Yuxuan Chen Resume.pdf (saved LinkedIn copy; AI-agents/full-stack profile)</x:v>
      </x:c>
      <x:c r="V24" s="31" t="str">
        <x:v>None</x:v>
      </x:c>
      <x:c r="W24" s="31" t="str">
        <x:v>Submitted successfully through LinkedIn Easy Apply on 2026-09-10; LinkedIn displayed Application submitted. Python experience was answered Yes; authorization without restrictions was answered No; future sponsorship was answered Yes. Tailored motivation and stack answers were included, along with voluntary demographics: Woman, East Asian, Heterosexual, not transgender, no disability and not a veteran.</x:v>
      </x:c>
    </x:row>
    <x:row r="25">
      <x:c r="A25" s="28" t="str">
        <x:v>Temu</x:v>
      </x:c>
      <x:c r="B25" s="28" t="str">
        <x:v>Software Engineer (Ads)</x:v>
      </x:c>
      <x:c r="C25" s="28" t="str">
        <x:v>https://www.linkedin.com/jobs/view/4462675319/</x:v>
      </x:c>
      <x:c r="D25" s="28" t="str">
        <x:v>https://www.linkedin.com/jobs/view/4462675319/apply/?openSDUIApplyFlow=true</x:v>
      </x:c>
      <x:c r="E25" s="29" t="str">
        <x:v>2026-09-06</x:v>
      </x:c>
      <x:c r="F25" s="29" t="str">
        <x:v>2026-09-07</x:v>
      </x:c>
      <x:c r="G25" s="29" t="str">
        <x:v>2026-09-07</x:v>
      </x:c>
      <x:c r="H25" s="29"/>
      <x:c r="I25" s="28" t="str">
        <x:v>Needs input</x:v>
      </x:c>
      <x:c r="J25" s="30"/>
      <x:c r="K25" s="30"/>
      <x:c r="L25" s="28" t="str">
        <x:v>15-1252</x:v>
      </x:c>
      <x:c r="M25" s="28" t="str">
        <x:v>Software Developers</x:v>
      </x:c>
      <x:c r="N25" s="31" t="str">
        <x:v>Remote U.S.; salary and employing worksite are not disclosed, so prevailing-wage compatibility remains pending.</x:v>
      </x:c>
      <x:c r="O25" s="31" t="str">
        <x:v>Remote U.S.</x:v>
      </x:c>
      <x:c r="P25" s="31"/>
      <x:c r="Q25" s="31" t="str">
        <x:v>Remote</x:v>
      </x:c>
      <x:c r="R25" s="31" t="str">
        <x:v>Not stated</x:v>
      </x:c>
      <x:c r="S25" s="31" t="str">
        <x:v>Strong stretch</x:v>
      </x:c>
      <x:c r="T25" s="31" t="str">
        <x:v>Strong overlap with Python/Java, API integrations, scalable backend services, SQL/NoSQL, cloud deployment, data pipelines, and serving LLM/ML systems. The 2+ year requirement is a manageable stretch.</x:v>
      </x:c>
      <x:c r="U25" s="31" t="str">
        <x:v>Yuxuan Chen Resume.pdf</x:v>
      </x:c>
      <x:c r="V25" s="31" t="str">
        <x:v>LinkedIn's phone component visibly displays the number but does not persist it in form state, so Next cannot advance.</x:v>
      </x:c>
      <x:c r="W25" s="31" t="str">
        <x:v>Application started immediately. The same LinkedIn embedded phone-field defect blocked progression; preserved for retry while search continues.</x:v>
      </x:c>
    </x:row>
    <x:row r="26">
      <x:c r="A26" s="28" t="str">
        <x:v>Contour</x:v>
      </x:c>
      <x:c r="B26" s="28" t="str">
        <x:v>Full-Stack Engineer</x:v>
      </x:c>
      <x:c r="C26" s="28" t="str">
        <x:v>https://www.linkedin.com/jobs/view/4462913578/</x:v>
      </x:c>
      <x:c r="D26" s="28" t="str">
        <x:v>https://usecontour.ai/careers/full-stack-engineer/</x:v>
      </x:c>
      <x:c r="E26" s="29" t="str">
        <x:v>2026-09-07</x:v>
      </x:c>
      <x:c r="F26" s="29" t="str">
        <x:v>2026-09-07</x:v>
      </x:c>
      <x:c r="G26" s="29"/>
      <x:c r="H26" s="29"/>
      <x:c r="I26" s="28" t="str">
        <x:v>Needs input</x:v>
      </x:c>
      <x:c r="J26" s="30"/>
      <x:c r="K26" s="30"/>
      <x:c r="L26" s="28" t="str">
        <x:v>15-1252</x:v>
      </x:c>
      <x:c r="M26" s="28" t="str">
        <x:v>Software Developers</x:v>
      </x:c>
      <x:c r="N26" s="31" t="str">
        <x:v>In-person San Francisco, CA; salary is not disclosed, so the offer would need to be compared against the applicable San Francisco prevailing wage before acceptance.</x:v>
      </x:c>
      <x:c r="O26" s="31" t="str">
        <x:v>San Francisco, CA</x:v>
      </x:c>
      <x:c r="P26" s="31"/>
      <x:c r="Q26" s="31" t="str">
        <x:v>In person</x:v>
      </x:c>
      <x:c r="R26" s="31" t="str">
        <x:v>Not stated</x:v>
      </x:c>
      <x:c r="S26" s="31" t="str">
        <x:v>Strong technical stretch</x:v>
      </x:c>
      <x:c r="T26" s="31" t="str">
        <x:v>Excellent overlap with Python, TypeScript, full-stack product development, agentic workflows, retrieval over unstructured corpora, LLM evaluation, and customer-facing delivery. Main stretch is the 3+ year requirement.</x:v>
      </x:c>
      <x:c r="U26" s="31" t="str">
        <x:v>Yuxuan Chen Resume.pdf</x:v>
      </x:c>
      <x:c r="V26" s="31" t="str">
        <x:v>Official application is email-only; no connected email-sending capability is available in this task.</x:v>
      </x:c>
      <x:c r="W26" s="31" t="str">
        <x:v>Official careers page verified. Application instruction is to email the resume to team@usecontour.ai; no web form is provided.</x:v>
      </x:c>
    </x:row>
    <x:row r="27">
      <x:c r="A27" s="28" t="str">
        <x:v>Accenture</x:v>
      </x:c>
      <x:c r="B27" s="28" t="str">
        <x:v>Palantir Forward Deployed Engineer</x:v>
      </x:c>
      <x:c r="C27" s="28" t="str">
        <x:v>https://www.linkedin.com/jobs/view/4462908651/</x:v>
      </x:c>
      <x:c r="D27" s="28" t="str">
        <x:v>Pending Accenture redirect</x:v>
      </x:c>
      <x:c r="E27" s="29" t="str">
        <x:v>2026-09-07</x:v>
      </x:c>
      <x:c r="F27" s="29" t="str">
        <x:v>2026-09-07</x:v>
      </x:c>
      <x:c r="G27" s="29"/>
      <x:c r="H27" s="29"/>
      <x:c r="I27" s="28" t="str">
        <x:v>Halted</x:v>
      </x:c>
      <x:c r="J27" s="30" t="n">
        <x:v>59100</x:v>
      </x:c>
      <x:c r="K27" s="30" t="n">
        <x:v>203100</x:v>
      </x:c>
      <x:c r="L27" s="28" t="str">
        <x:v>15-1252</x:v>
      </x:c>
      <x:c r="M27" s="28" t="str">
        <x:v>Software Developers</x:v>
      </x:c>
      <x:c r="N27" s="31" t="str">
        <x:v>Chicago, IL hybrid; the very broad Illinois range spans multiple wage levels and would require offer-specific review.</x:v>
      </x:c>
      <x:c r="O27" s="31" t="str">
        <x:v>Chicago, IL</x:v>
      </x:c>
      <x:c r="P27" s="31"/>
      <x:c r="Q27" s="31" t="str">
        <x:v>Hybrid; 0–100% travel</x:v>
      </x:c>
      <x:c r="R27" s="31" t="str">
        <x:v>Explicitly unavailable: applicants must not now or later require employment visa sponsorship.</x:v>
      </x:c>
      <x:c r="S27" s="31" t="str">
        <x:v>Ineligible</x:v>
      </x:c>
      <x:c r="T27" s="31" t="str">
        <x:v>Relevant Python/TypeScript/LLM/data skills, but requires three years each in data engineering, cloud and programming, and explicitly excludes future sponsorship.</x:v>
      </x:c>
      <x:c r="U27" s="31" t="str">
        <x:v>Not used</x:v>
      </x:c>
      <x:c r="V27" s="31" t="str">
        <x:v>None</x:v>
      </x:c>
      <x:c r="W27" s="31" t="str">
        <x:v>Halted immediately after full review because the sponsorship rule is incompatible with the visa objective.</x:v>
      </x:c>
    </x:row>
    <x:row r="28">
      <x:c r="A28" s="28" t="str">
        <x:v>Brook Mays Music</x:v>
      </x:c>
      <x:c r="B28" s="28" t="str">
        <x:v>AI Deployment Specialist</x:v>
      </x:c>
      <x:c r="C28" s="28" t="str">
        <x:v>https://www.linkedin.com/jobs/view/4462903555/</x:v>
      </x:c>
      <x:c r="D28" s="28" t="str">
        <x:v>https://www.linkedin.com/jobs/view/4462903555/apply/?openSDUIApplyFlow=true</x:v>
      </x:c>
      <x:c r="E28" s="29" t="str">
        <x:v>2026-09-07</x:v>
      </x:c>
      <x:c r="F28" s="29" t="str">
        <x:v>2026-09-07</x:v>
      </x:c>
      <x:c r="G28" s="29"/>
      <x:c r="H28" s="29"/>
      <x:c r="I28" s="28" t="str">
        <x:v>Halted</x:v>
      </x:c>
      <x:c r="J28" s="30"/>
      <x:c r="K28" s="30"/>
      <x:c r="L28" s="28" t="str">
        <x:v>15-1299</x:v>
      </x:c>
      <x:c r="M28" s="28" t="str">
        <x:v>Computer Occupations, All Other</x:v>
      </x:c>
      <x:c r="N28" s="31" t="str">
        <x:v>Dallas, TX on-site; salary is undisclosed.</x:v>
      </x:c>
      <x:c r="O28" s="31" t="str">
        <x:v>Dallas, TX</x:v>
      </x:c>
      <x:c r="P28" s="31"/>
      <x:c r="Q28" s="31" t="str">
        <x:v>On-site</x:v>
      </x:c>
      <x:c r="R28" s="31" t="str">
        <x:v>Not stated</x:v>
      </x:c>
      <x:c r="S28" s="31" t="str">
        <x:v>Unknown</x:v>
      </x:c>
      <x:c r="T28" s="31" t="str">
        <x:v>Title is potentially relevant, but LinkedIn did not expose the full job description, qualifications or compensation.</x:v>
      </x:c>
      <x:c r="U28" s="31" t="str">
        <x:v>Not used</x:v>
      </x:c>
      <x:c r="V28" s="31" t="str">
        <x:v>None from candidate; the agent must re-check the full description, employer quality, salary and sponsorship.</x:v>
      </x:c>
      <x:c r="W28" s="31" t="str">
        <x:v>Queue-audit correction: this application was never submitted and is not under employer review. It is queued for agent-side verification.</x:v>
      </x:c>
    </x:row>
    <x:row r="29">
      <x:c r="A29" s="28" t="str">
        <x:v>ActAI</x:v>
      </x:c>
      <x:c r="B29" s="28" t="str">
        <x:v>Full Stack Engineer, AI Internal Systems</x:v>
      </x:c>
      <x:c r="C29" s="28" t="str">
        <x:v>https://www.linkedin.com/jobs/view/4462917640/</x:v>
      </x:c>
      <x:c r="D29" s="28" t="str">
        <x:v>https://jobs.ashbyhq.com/bjakcareer/30e1ea85-c935-49d8-ab3b-b367e4c85973/application</x:v>
      </x:c>
      <x:c r="E29" s="29" t="str">
        <x:v>2026-09-07</x:v>
      </x:c>
      <x:c r="F29" s="29" t="str">
        <x:v>2026-09-07</x:v>
      </x:c>
      <x:c r="G29" s="29" t="str">
        <x:v>2026-09-07</x:v>
      </x:c>
      <x:c r="H29" s="29" t="str">
        <x:v>2026-09-13</x:v>
      </x:c>
      <x:c r="I29" s="28" t="str">
        <x:v>Submitted</x:v>
      </x:c>
      <x:c r="J29" s="30"/>
      <x:c r="K29" s="30"/>
      <x:c r="L29" s="28" t="str">
        <x:v>15-1252</x:v>
      </x:c>
      <x:c r="M29" s="28" t="str">
        <x:v>Software Developers</x:v>
      </x:c>
      <x:c r="N29" s="31" t="str">
        <x:v>Official form lists remote United States while LinkedIn says Palo Alto hybrid; salary is undisclosed, so worksite and wage compatibility require clarification at offer stage.</x:v>
      </x:c>
      <x:c r="O29" s="31" t="str">
        <x:v>Remote U.S.</x:v>
      </x:c>
      <x:c r="P29" s="31" t="str">
        <x:v>Palo Alto, CA hybrid on LinkedIn</x:v>
      </x:c>
      <x:c r="Q29" s="31" t="str">
        <x:v>Remote per official application</x:v>
      </x:c>
      <x:c r="R29" s="31" t="str">
        <x:v>Not stated; application truthfully answers that a work visa is required</x:v>
      </x:c>
      <x:c r="S29" s="31" t="str">
        <x:v>Very strong</x:v>
      </x:c>
      <x:c r="T29" s="31" t="str">
        <x:v>Direct match for full-stack/platform development, APIs, databases, cloud infrastructure, AI integrations, automation workflows, production shipping and ambiguous business problems.</x:v>
      </x:c>
      <x:c r="U29" s="31" t="str">
        <x:v>Yuxuan_Chen_Resume_Giga_Software_Engineer_AI_Agents_20260907.pdf</x:v>
      </x:c>
      <x:c r="V29" s="31" t="str">
        <x:v>None</x:v>
      </x:c>
      <x:c r="W29" s="31" t="str">
        <x:v>Successfully submitted on the official Ashby application on 2026-09-13. Selected Work VISA: Yes; less than 3 years of professional experience; prior internal-platform experience: Yes; Python, TypeScript/Node.js, Java, cloud infrastructure, Docker/Kubernetes; limited multi-system integration experience. Recruitment-marketing consent accepted per candidate preference.</x:v>
      </x:c>
    </x:row>
    <x:row r="30">
      <x:c r="A30" s="28" t="str">
        <x:v>Jobgether partner (undisclosed employer)</x:v>
      </x:c>
      <x:c r="B30" s="28" t="str">
        <x:v>Data Solutions AI Application Developer</x:v>
      </x:c>
      <x:c r="C30" s="28" t="str">
        <x:v>https://www.linkedin.com/jobs/view/4462907362/</x:v>
      </x:c>
      <x:c r="D30" s="28" t="str">
        <x:v>LinkedIn Apply / Jobgether</x:v>
      </x:c>
      <x:c r="E30" s="29" t="str">
        <x:v>2026-09-07</x:v>
      </x:c>
      <x:c r="F30" s="29" t="str">
        <x:v>2026-09-07</x:v>
      </x:c>
      <x:c r="G30" s="29"/>
      <x:c r="H30" s="29"/>
      <x:c r="I30" s="28" t="str">
        <x:v>Halted</x:v>
      </x:c>
      <x:c r="J30" s="30" t="n">
        <x:v>94100</x:v>
      </x:c>
      <x:c r="K30" s="30" t="n">
        <x:v>164800</x:v>
      </x:c>
      <x:c r="L30" s="28" t="str">
        <x:v>15-1252</x:v>
      </x:c>
      <x:c r="M30" s="28" t="str">
        <x:v>Software Developers</x:v>
      </x:c>
      <x:c r="N30" s="31" t="str">
        <x:v>Remote U.S. worksite is unspecified; posted range requires location-specific review.</x:v>
      </x:c>
      <x:c r="O30" s="31" t="str">
        <x:v>Remote U.S.</x:v>
      </x:c>
      <x:c r="P30" s="31"/>
      <x:c r="Q30" s="31" t="str">
        <x:v>Remote</x:v>
      </x:c>
      <x:c r="R30" s="31" t="str">
        <x:v>Not stated</x:v>
      </x:c>
      <x:c r="S30" s="31" t="str">
        <x:v>Low</x:v>
      </x:c>
      <x:c r="T30" s="31" t="str">
        <x:v>Python, SQL, FastAPI, cloud and AI application work align, but the role requires five years of application development, two years of cloud/data platforms and strong low-code platform experience.</x:v>
      </x:c>
      <x:c r="U30" s="31" t="str">
        <x:v>Not used</x:v>
      </x:c>
      <x:c r="V30" s="31" t="str">
        <x:v>None</x:v>
      </x:c>
      <x:c r="W30" s="31" t="str">
        <x:v>Halted after full review due unrealistic experience and low-code platform requirements.</x:v>
      </x:c>
    </x:row>
    <x:row r="31">
      <x:c r="A31" s="28" t="str">
        <x:v>NetApp</x:v>
      </x:c>
      <x:c r="B31" s="28" t="str">
        <x:v>NetApp Emerging Talent - Software Engineer (Systems)</x:v>
      </x:c>
      <x:c r="C31" s="28" t="str">
        <x:v>https://www.linkedin.com/jobs/view/4461875490/</x:v>
      </x:c>
      <x:c r="D31" s="28" t="str">
        <x:v>Pending NetApp redirect</x:v>
      </x:c>
      <x:c r="E31" s="29" t="str">
        <x:v>2026-09-07</x:v>
      </x:c>
      <x:c r="F31" s="29" t="str">
        <x:v>2026-09-07</x:v>
      </x:c>
      <x:c r="G31" s="29"/>
      <x:c r="H31" s="29"/>
      <x:c r="I31" s="28" t="str">
        <x:v>Halted</x:v>
      </x:c>
      <x:c r="J31" s="30" t="n">
        <x:v>113050</x:v>
      </x:c>
      <x:c r="K31" s="30" t="n">
        <x:v>168300</x:v>
      </x:c>
      <x:c r="L31" s="28" t="str">
        <x:v>15-1252</x:v>
      </x:c>
      <x:c r="M31" s="28" t="str">
        <x:v>Software Developers</x:v>
      </x:c>
      <x:c r="N31" s="31" t="str">
        <x:v>San Jose, CA hybrid; compensation is plausible but exact prevailing-wage compatibility depends on the offered level.</x:v>
      </x:c>
      <x:c r="O31" s="31" t="str">
        <x:v>San Jose, CA</x:v>
      </x:c>
      <x:c r="P31" s="31"/>
      <x:c r="Q31" s="31" t="str">
        <x:v>Hybrid</x:v>
      </x:c>
      <x:c r="R31" s="31" t="str">
        <x:v>Not stated</x:v>
      </x:c>
      <x:c r="S31" s="31" t="str">
        <x:v>Low</x:v>
      </x:c>
      <x:c r="T31" s="31" t="str">
        <x:v>Master's candidates can qualify with no experience, but C/C++, Unix systems programming, multithreading and OS internals are mandatory and not shown in the resume.</x:v>
      </x:c>
      <x:c r="U31" s="31" t="str">
        <x:v>Not used</x:v>
      </x:c>
      <x:c r="V31" s="31" t="str">
        <x:v>None</x:v>
      </x:c>
      <x:c r="W31" s="31" t="str">
        <x:v>Halted after full review because the required systems-programming stack does not match the current profile.</x:v>
      </x:c>
    </x:row>
    <x:row r="32">
      <x:c r="A32" s="28" t="str">
        <x:v>scalr</x:v>
      </x:c>
      <x:c r="B32" s="28" t="str">
        <x:v>Forward Deployed Engineer (AI)</x:v>
      </x:c>
      <x:c r="C32" s="28" t="str">
        <x:v>https://www.linkedin.com/jobs/view/4461859354/</x:v>
      </x:c>
      <x:c r="D32" s="28" t="str">
        <x:v>https://www.linkedin.com/jobs/view/4461859354/apply/?openSDUIApplyFlow=true</x:v>
      </x:c>
      <x:c r="E32" s="29" t="str">
        <x:v>2026-09-07</x:v>
      </x:c>
      <x:c r="F32" s="29" t="str">
        <x:v>2026-09-07</x:v>
      </x:c>
      <x:c r="G32" s="29"/>
      <x:c r="H32" s="29"/>
      <x:c r="I32" s="28" t="str">
        <x:v>Halted</x:v>
      </x:c>
      <x:c r="J32" s="30" t="n">
        <x:v>200000</x:v>
      </x:c>
      <x:c r="K32" s="30" t="n">
        <x:v>300000</x:v>
      </x:c>
      <x:c r="L32" s="28" t="str">
        <x:v>15-1252</x:v>
      </x:c>
      <x:c r="M32" s="28" t="str">
        <x:v>Software Developers</x:v>
      </x:c>
      <x:c r="N32" s="31" t="str">
        <x:v>Remote San Francisco Bay Area; the posted range is above typical lower wage levels, but the actual worksite and role level remain undisclosed.</x:v>
      </x:c>
      <x:c r="O32" s="31" t="str">
        <x:v>San Francisco Bay Area remote</x:v>
      </x:c>
      <x:c r="P32" s="31"/>
      <x:c r="Q32" s="31" t="str">
        <x:v>Remote</x:v>
      </x:c>
      <x:c r="R32" s="31" t="str">
        <x:v>Not stated</x:v>
      </x:c>
      <x:c r="S32" s="31" t="str">
        <x:v>Unknown</x:v>
      </x:c>
      <x:c r="T32" s="31" t="str">
        <x:v>Title and compensation are relevant, but LinkedIn did not expose the description or qualifications and only offers the currently defective embedded application flow.</x:v>
      </x:c>
      <x:c r="U32" s="31" t="str">
        <x:v>Not used</x:v>
      </x:c>
      <x:c r="V32" s="31" t="str">
        <x:v>None from candidate; the agent must re-check the full description, employer quality, salary and sponsorship.</x:v>
      </x:c>
      <x:c r="W32" s="31" t="str">
        <x:v>Queue-audit correction: this application was never submitted and is not under employer review. It is queued for agent-side verification.</x:v>
      </x:c>
    </x:row>
    <x:row r="33">
      <x:c r="A33" s="28" t="str">
        <x:v>Alignerr</x:v>
      </x:c>
      <x:c r="B33" s="28" t="str">
        <x:v>Software Engineer - Frontend</x:v>
      </x:c>
      <x:c r="C33" s="28" t="str">
        <x:v>https://www.linkedin.com/jobs/view/4464072838/</x:v>
      </x:c>
      <x:c r="D33" s="28" t="str">
        <x:v>Pending external redirect</x:v>
      </x:c>
      <x:c r="E33" s="29" t="str">
        <x:v>2026-09-07</x:v>
      </x:c>
      <x:c r="F33" s="29" t="str">
        <x:v>2026-09-07</x:v>
      </x:c>
      <x:c r="G33" s="29"/>
      <x:c r="H33" s="29"/>
      <x:c r="I33" s="28" t="str">
        <x:v>Halted</x:v>
      </x:c>
      <x:c r="J33" s="30" t="n">
        <x:v>25</x:v>
      </x:c>
      <x:c r="K33" s="30" t="n">
        <x:v>120</x:v>
      </x:c>
      <x:c r="L33" s="28" t="str">
        <x:v>15-1252</x:v>
      </x:c>
      <x:c r="M33" s="28" t="str">
        <x:v>Software Developers</x:v>
      </x:c>
      <x:c r="N33" s="31" t="str">
        <x:v>Remote hourly contract with a $25–$120 range; the low end does not provide reliable H-1B wage compatibility and contractor status is generally unsuitable for employer sponsorship.</x:v>
      </x:c>
      <x:c r="O33" s="31" t="str">
        <x:v>Remote U.S.</x:v>
      </x:c>
      <x:c r="P33" s="31"/>
      <x:c r="Q33" s="31" t="str">
        <x:v>Remote contract</x:v>
      </x:c>
      <x:c r="R33" s="31" t="str">
        <x:v>No employer sponsorship stated; contract structure is incompatible with the primary visa objective.</x:v>
      </x:c>
      <x:c r="S33" s="31" t="str">
        <x:v>Ineligible structure</x:v>
      </x:c>
      <x:c r="T33" s="31" t="str">
        <x:v>Frontend title may align, but the full description is unavailable and the role is contract-based rather than a stable sponsoring employer position.</x:v>
      </x:c>
      <x:c r="U33" s="31" t="str">
        <x:v>Not used</x:v>
      </x:c>
      <x:c r="V33" s="31" t="str">
        <x:v>None</x:v>
      </x:c>
      <x:c r="W33" s="31" t="str">
        <x:v>Halted due contract structure and insufficient job-description evidence.</x:v>
      </x:c>
    </x:row>
    <x:row r="34">
      <x:c r="A34" s="28" t="str">
        <x:v>Lenovo</x:v>
      </x:c>
      <x:c r="B34" s="28" t="str">
        <x:v>AI Business Solutions Architect - Global Future Leaders Program (2027)</x:v>
      </x:c>
      <x:c r="C34" s="28" t="str">
        <x:v>https://www.linkedin.com/jobs/view/4462904132/</x:v>
      </x:c>
      <x:c r="D34" s="28" t="str">
        <x:v>https://lenovo.avature.net/en_US/careers/JobDetail?jobId=81039&amp;src=LinkedIn</x:v>
      </x:c>
      <x:c r="E34" s="29" t="str">
        <x:v>2026-09-06</x:v>
      </x:c>
      <x:c r="F34" s="29" t="str">
        <x:v>2026-09-07</x:v>
      </x:c>
      <x:c r="G34" s="29" t="str">
        <x:v>2026-09-07</x:v>
      </x:c>
      <x:c r="H34" s="29"/>
      <x:c r="I34" s="28" t="str">
        <x:v>Needs input</x:v>
      </x:c>
      <x:c r="J34" s="30"/>
      <x:c r="K34" s="30"/>
      <x:c r="L34" s="28" t="str">
        <x:v>15-1299</x:v>
      </x:c>
      <x:c r="M34" s="28" t="str">
        <x:v>Computer Occupations, All Other</x:v>
      </x:c>
      <x:c r="N34" s="31" t="str">
        <x:v>Morrisville, NC on-site; salary is undisclosed, so offer-stage comparison against the applicable prevailing wage is required.</x:v>
      </x:c>
      <x:c r="O34" s="31" t="str">
        <x:v>Morrisville, NC</x:v>
      </x:c>
      <x:c r="P34" s="31"/>
      <x:c r="Q34" s="31" t="str">
        <x:v>On-site; approximately 10–20% travel</x:v>
      </x:c>
      <x:c r="R34" s="31" t="str">
        <x:v>Not stated</x:v>
      </x:c>
      <x:c r="S34" s="31" t="str">
        <x:v>Very strong</x:v>
      </x:c>
      <x:c r="T34" s="31" t="str">
        <x:v>Explicitly designed for current/recent graduates and directly matches LLM applications, prompt design, AI prototyping, Python, SQL, RAG, agents, workflow orchestration, AI evaluation, documentation and cross-functional communication.</x:v>
      </x:c>
      <x:c r="U34" s="31" t="str">
        <x:v>Yuxuan Chen Resume.pdf</x:v>
      </x:c>
      <x:c r="V34" s="31" t="str">
        <x:v>Lenovo requires an applicant account and password before the application can be opened; credentials cannot be created or stored by the agent.</x:v>
      </x:c>
      <x:c r="W34" s="31" t="str">
        <x:v>Official posting verified, Req WD00104317. Spring/Summer 2027 onboarding fits December 2026 graduation. Application window closes October 23, 2026. Login/registration page is open for manual account access.</x:v>
      </x:c>
    </x:row>
    <x:row r="35">
      <x:c r="A35" s="28" t="str">
        <x:v>SWAKIO</x:v>
      </x:c>
      <x:c r="B35" s="28" t="str">
        <x:v>Artificial Intelligence Engineer</x:v>
      </x:c>
      <x:c r="C35" s="28" t="str">
        <x:v>https://www.linkedin.com/jobs/view/4461877759/</x:v>
      </x:c>
      <x:c r="D35" s="28" t="str">
        <x:v>https://www.linkedin.com/jobs/view/4461877759/apply/?openSDUIApplyFlow=true</x:v>
      </x:c>
      <x:c r="E35" s="29" t="str">
        <x:v>2026-09-07</x:v>
      </x:c>
      <x:c r="F35" s="29" t="str">
        <x:v>2026-09-07</x:v>
      </x:c>
      <x:c r="G35" s="29"/>
      <x:c r="H35" s="29"/>
      <x:c r="I35" s="28" t="str">
        <x:v>Halted</x:v>
      </x:c>
      <x:c r="J35" s="30"/>
      <x:c r="K35" s="30"/>
      <x:c r="L35" s="28" t="str">
        <x:v>15-2051</x:v>
      </x:c>
      <x:c r="M35" s="28" t="str">
        <x:v>Data Scientists</x:v>
      </x:c>
      <x:c r="N35" s="31" t="str">
        <x:v>Remote U.S.; salary and employing worksite are undisclosed.</x:v>
      </x:c>
      <x:c r="O35" s="31" t="str">
        <x:v>Remote U.S.</x:v>
      </x:c>
      <x:c r="P35" s="31"/>
      <x:c r="Q35" s="31" t="str">
        <x:v>Remote</x:v>
      </x:c>
      <x:c r="R35" s="31" t="str">
        <x:v>Not stated</x:v>
      </x:c>
      <x:c r="S35" s="31" t="str">
        <x:v>Unknown</x:v>
      </x:c>
      <x:c r="T35" s="31" t="str">
        <x:v>Title aligns with the target profile, but LinkedIn did not expose the job description, requirements or compensation.</x:v>
      </x:c>
      <x:c r="U35" s="31" t="str">
        <x:v>Not used</x:v>
      </x:c>
      <x:c r="V35" s="31" t="str">
        <x:v>None from candidate; the agent must re-check the full description, employer quality, salary and sponsorship.</x:v>
      </x:c>
      <x:c r="W35" s="31" t="str">
        <x:v>Queue-audit correction: this application was never submitted and is not under employer review. It is queued for agent-side verification.</x:v>
      </x:c>
    </x:row>
    <x:row r="36">
      <x:c r="A36" s="28" t="str">
        <x:v>Applied Intuition</x:v>
      </x:c>
      <x:c r="B36" s="28" t="str">
        <x:v>Software Engineer - New Grad (December 2026)</x:v>
      </x:c>
      <x:c r="C36" s="28" t="str">
        <x:v>https://www.linkedin.com/jobs/view/4453756654/</x:v>
      </x:c>
      <x:c r="D36" s="28" t="str">
        <x:v>https://jobs.ashbyhq.com/applied/a837cbd6-9fe4-4d74-a2dc-84f602c40694/application</x:v>
      </x:c>
      <x:c r="E36" s="29" t="str">
        <x:v>LinkedIn reposted 2026-09-05</x:v>
      </x:c>
      <x:c r="F36" s="29" t="str">
        <x:v>2026-09-08</x:v>
      </x:c>
      <x:c r="G36" s="29" t="str">
        <x:v>2026-09-07</x:v>
      </x:c>
      <x:c r="H36" s="29"/>
      <x:c r="I36" s="28" t="str">
        <x:v>Rejected</x:v>
      </x:c>
      <x:c r="J36" s="30" t="n">
        <x:v>123000</x:v>
      </x:c>
      <x:c r="K36" s="30" t="n">
        <x:v>158000</x:v>
      </x:c>
      <x:c r="L36" s="28" t="str">
        <x:v>15-1252</x:v>
      </x:c>
      <x:c r="M36" s="28" t="str">
        <x:v>Software Developers</x:v>
      </x:c>
      <x:c r="N36" s="31" t="str">
        <x:v>San Francisco-Oakland-Fremont Software Developers Level 1 is $137,093. Offers from $137,093 through the $158,000 maximum clear Level 1; approximately 60% of the published range is compatible.</x:v>
      </x:c>
      <x:c r="O36" s="31" t="str">
        <x:v>Sunnyvale, CA</x:v>
      </x:c>
      <x:c r="P36" s="31" t="str">
        <x:v>Ann Arbor, MI is also shown on the official application; Sunnyvale selected because the LinkedIn requisition is tied to that location</x:v>
      </x:c>
      <x:c r="Q36" s="31" t="str">
        <x:v>On-site, five days per week with occasional flexibility</x:v>
      </x:c>
      <x:c r="R36" s="31" t="str">
        <x:v>The official Ashby form explicitly asks whether sponsorship is needed now or in the future and permits Yes. It also asks about an active immigration case; answer No for the pending OPT application because this example refers to employer-sponsored cases such as H-1B extension or green card.</x:v>
      </x:c>
      <x:c r="S36" s="31" t="str">
        <x:v>Exceptional and realistic new-grad fit</x:v>
      </x:c>
      <x:c r="T36" s="31" t="str">
        <x:v>The December 2026 graduation requirement matches exactly. Full-stack, infrastructure, React, SQLAlchemy, Docker, Kubernetes, APIs, ownership, fast iteration and cross-functional work align closely with the resume.</x:v>
      </x:c>
      <x:c r="U36" s="31" t="str">
        <x:v>Yuxuan_Chen_Resume_Salesforce_Software_Engineering_AMTS_20260907.pdf</x:v>
      </x:c>
      <x:c r="V36" s="31" t="str">
        <x:v>None</x:v>
      </x:c>
      <x:c r="W36" s="31" t="str">
        <x:v>Submitted successfully through the official Ashby application on 2026-09-08; authoritative Success confirmation received. Entered Northeastern M.S. Software Engineering Systems (Sep 2024-Dec 2026), current company Northeastern University, five-day Sunnyvale office Yes, LinkedIn source, future sponsorship Yes, active employer-sponsored immigration case No, and a tailored sub-100-word motivation. Voluntary demographics: female, Asian (not Hispanic/Latino), not a protected veteran.</x:v>
      </x:c>
    </x:row>
    <x:row r="37">
      <x:c r="A37" s="28" t="str">
        <x:v>Scale AI</x:v>
      </x:c>
      <x:c r="B37" s="28" t="str">
        <x:v>Software Engineer - New Grad</x:v>
      </x:c>
      <x:c r="C37" s="28" t="str">
        <x:v>Not located in current LinkedIn results; official role independently verified</x:v>
      </x:c>
      <x:c r="D37" s="28" t="str">
        <x:v>https://job-boards.greenhouse.io/scaleai/jobs/4730836005</x:v>
      </x:c>
      <x:c r="E37" s="29" t="str">
        <x:v>2026-09-05</x:v>
      </x:c>
      <x:c r="F37" s="29" t="str">
        <x:v>2026-09-07</x:v>
      </x:c>
      <x:c r="G37" s="29" t="str">
        <x:v>2026-09-09</x:v>
      </x:c>
      <x:c r="H37" s="29" t="str">
        <x:v>2026-09-09</x:v>
      </x:c>
      <x:c r="I37" s="28" t="str">
        <x:v>Submitted</x:v>
      </x:c>
      <x:c r="J37" s="30" t="n">
        <x:v>124000</x:v>
      </x:c>
      <x:c r="K37" s="30" t="n">
        <x:v>162000</x:v>
      </x:c>
      <x:c r="L37" s="28" t="str">
        <x:v>15-1252</x:v>
      </x:c>
      <x:c r="M37" s="28" t="str">
        <x:v>Software Developers</x:v>
      </x:c>
      <x:c r="N37" s="31" t="str">
        <x:v>San Francisco Level 1 is $152,797. Only the upper $9,203 of the range clears Level 1, so an offer would need to be at least $152,797.</x:v>
      </x:c>
      <x:c r="O37" s="31" t="str">
        <x:v>San Francisco, CA</x:v>
      </x:c>
      <x:c r="P37" s="31"/>
      <x:c r="Q37" s="31" t="str">
        <x:v>On-site</x:v>
      </x:c>
      <x:c r="R37" s="31" t="str">
        <x:v>Not stated; no exclusion appears in the full posting or application form.</x:v>
      </x:c>
      <x:c r="S37" s="31" t="str">
        <x:v>Exceptional new-grad fit; wage-floor caution</x:v>
      </x:c>
      <x:c r="T37" s="31" t="str">
        <x:v>Exact graduation window plus direct overlap with Python, TypeScript, React, APIs, large data systems, LLM evaluations, agentic systems and shipped full-stack products.</x:v>
      </x:c>
      <x:c r="U37" s="31" t="str">
        <x:v>Yuxuan_Chen_Resume_Giga_Software_Engineer_AI_Agents_20260907.pdf</x:v>
      </x:c>
      <x:c r="V37" s="31" t="str">
        <x:v>None</x:v>
      </x:c>
      <x:c r="W37" s="31" t="str">
        <x:v>Submitted successfully through the official Greenhouse form on 2026-09-09. Official confirmation: Thank you for applying; your application has been received. Optional cover letter omitted.</x:v>
      </x:c>
    </x:row>
    <x:row r="38">
      <x:c r="A38" s="28" t="str">
        <x:v>Notion</x:v>
      </x:c>
      <x:c r="B38" s="28" t="str">
        <x:v>Software Engineer, New Grad (Dec 2026)</x:v>
      </x:c>
      <x:c r="C38" s="28" t="str">
        <x:v>https://www.linkedin.com/jobs/view/4454805111/</x:v>
      </x:c>
      <x:c r="D38" s="28" t="str">
        <x:v>https://jobs.ashbyhq.com/notion/e32799d2-8ef8-4803-8189-c72514afa816/application</x:v>
      </x:c>
      <x:c r="E38" s="29" t="str">
        <x:v>LinkedIn reposted 2026-09-05</x:v>
      </x:c>
      <x:c r="F38" s="29" t="str">
        <x:v>2026-09-08</x:v>
      </x:c>
      <x:c r="G38" s="29"/>
      <x:c r="H38" s="29" t="str">
        <x:v>2026-09-07</x:v>
      </x:c>
      <x:c r="I38" s="28" t="str">
        <x:v>Submitted</x:v>
      </x:c>
      <x:c r="J38" s="30" t="n">
        <x:v>135000</x:v>
      </x:c>
      <x:c r="K38" s="30" t="n">
        <x:v>155000</x:v>
      </x:c>
      <x:c r="L38" s="28" t="str">
        <x:v>15-1252</x:v>
      </x:c>
      <x:c r="M38" s="28" t="str">
        <x:v>Software Developers</x:v>
      </x:c>
      <x:c r="N38" s="31" t="str">
        <x:v>San Francisco Software Developers Level 1 is $152,797 in the provided spreadsheet, so only the very top of the $135,000-$155,000 range reaches Level 1. The application was already submitted with wage caution documented.</x:v>
      </x:c>
      <x:c r="O38" s="31" t="str">
        <x:v>San Francisco, CA</x:v>
      </x:c>
      <x:c r="P38" s="31" t="str">
        <x:v>New York, NY</x:v>
      </x:c>
      <x:c r="Q38" s="31" t="str">
        <x:v>Hybrid</x:v>
      </x:c>
      <x:c r="R38" s="31" t="str">
        <x:v>Not stated in the posting; future sponsorship need was disclosed in the submitted application.</x:v>
      </x:c>
      <x:c r="S38" s="31" t="str">
        <x:v>Exceptional eligibility and technical fit; wage caution</x:v>
      </x:c>
      <x:c r="T38" s="31" t="str">
        <x:v>Exact December 2026 graduation, January/February 2027 start, internship experience, React, TypeScript, Node.js, Python, Postgres, web applications and AI-assisted development align directly.</x:v>
      </x:c>
      <x:c r="U38" s="31" t="str">
        <x:v>Yuxuan Chen Resume.pdf</x:v>
      </x:c>
      <x:c r="V38" s="31" t="str">
        <x:v>None</x:v>
      </x:c>
      <x:c r="W38" s="31" t="str">
        <x:v>This is the same Notion new-grad role already submitted successfully on 2026-09-07. The newly discovered LinkedIn URL was attached to the existing official-application record; no duplicate application was submitted.</x:v>
      </x:c>
    </x:row>
    <x:row r="39">
      <x:c r="A39" s="28" t="str">
        <x:v>Applied Intuition</x:v>
      </x:c>
      <x:c r="B39" s="28" t="str">
        <x:v>Forward Deployed Engineer - New Grad (December 2026)</x:v>
      </x:c>
      <x:c r="C39" s="28" t="str">
        <x:v>Not located in current LinkedIn results; official role independently verified</x:v>
      </x:c>
      <x:c r="D39" s="28" t="str">
        <x:v>https://jobs.ashbyhq.com/applied/31140958-d768-452c-8498-0b1c7f403943</x:v>
      </x:c>
      <x:c r="E39" s="29" t="str">
        <x:v>2026-09-04</x:v>
      </x:c>
      <x:c r="F39" s="29" t="str">
        <x:v>2026-09-07</x:v>
      </x:c>
      <x:c r="G39" s="29"/>
      <x:c r="H39" s="29"/>
      <x:c r="I39" s="28" t="str">
        <x:v>Halted</x:v>
      </x:c>
      <x:c r="J39" s="30"/>
      <x:c r="K39" s="30"/>
      <x:c r="L39" s="28" t="str">
        <x:v>15-1252</x:v>
      </x:c>
      <x:c r="M39" s="28" t="str">
        <x:v>Software Developers</x:v>
      </x:c>
      <x:c r="N39" s="31" t="str">
        <x:v>Sunnyvale 15-1252 benchmark: L1 $152,797; L2 $187,075; L3 $221,374; L4 $255,653. Salary is not disclosed, so wage compatibility cannot be established before an offer.</x:v>
      </x:c>
      <x:c r="O39" s="31" t="str">
        <x:v>Sunnyvale, CA</x:v>
      </x:c>
      <x:c r="P39" s="31"/>
      <x:c r="Q39" s="31" t="str">
        <x:v>On-site, five days/week</x:v>
      </x:c>
      <x:c r="R39" s="31" t="str">
        <x:v>Not stated</x:v>
      </x:c>
      <x:c r="S39" s="31" t="str">
        <x:v>Very strong; wage unknown</x:v>
      </x:c>
      <x:c r="T39" s="31" t="str">
        <x:v>Exact December 2026 graduation match and direct overlap with Python, customer-facing engineering, full-stack development, APIs, React, SQLAlchemy, Docker, infrastructure, ambiguity and end-to-end deployment.</x:v>
      </x:c>
      <x:c r="U39" s="31" t="str">
        <x:v>Not used yet</x:v>
      </x:c>
      <x:c r="V39" s="31" t="str">
        <x:v>Action-time confirmation is required before transmitting contact details and resume.</x:v>
      </x:c>
      <x:c r="W39" s="31" t="str">
        <x:v>Official role verified. Prioritized below Applied Intuition's Ann Arbor Software Engineer opening because this role has no disclosed salary and only the high-cost Sunnyvale worksite.</x:v>
      </x:c>
    </x:row>
    <x:row r="40">
      <x:c r="A40" s="28" t="str">
        <x:v>Freeform</x:v>
      </x:c>
      <x:c r="B40" s="28" t="str">
        <x:v>Software Engineer (New Grad Summer 2027)</x:v>
      </x:c>
      <x:c r="C40" s="28" t="str">
        <x:v>Not located in current LinkedIn results; official role independently verified</x:v>
      </x:c>
      <x:c r="D40" s="28" t="str">
        <x:v>https://job-boards.greenhouse.io/freeformfuturecorp/jobs/7895902003</x:v>
      </x:c>
      <x:c r="E40" s="29" t="str">
        <x:v>2026-09-01</x:v>
      </x:c>
      <x:c r="F40" s="29" t="str">
        <x:v>2026-09-07</x:v>
      </x:c>
      <x:c r="G40" s="29"/>
      <x:c r="H40" s="29"/>
      <x:c r="I40" s="28" t="str">
        <x:v>Halted</x:v>
      </x:c>
      <x:c r="J40" s="30" t="n">
        <x:v>125000</x:v>
      </x:c>
      <x:c r="K40" s="30" t="n">
        <x:v>150000</x:v>
      </x:c>
      <x:c r="L40" s="28" t="str">
        <x:v>15-1252</x:v>
      </x:c>
      <x:c r="M40" s="28" t="str">
        <x:v>Software Developers</x:v>
      </x:c>
      <x:c r="N40" s="31" t="str">
        <x:v>Los Angeles 15-1252 comparison is secondary because the role is legally incompatible with the candidate's stated sponsorship need.</x:v>
      </x:c>
      <x:c r="O40" s="31" t="str">
        <x:v>Los Angeles, CA</x:v>
      </x:c>
      <x:c r="P40" s="31"/>
      <x:c r="Q40" s="31" t="str">
        <x:v>On-site</x:v>
      </x:c>
      <x:c r="R40" s="31" t="str">
        <x:v>Ineligible: requires ITAR U.S.-person status, defined as citizen, permanent resident or specified protected individual.</x:v>
      </x:c>
      <x:c r="S40" s="31" t="str">
        <x:v>Ineligible</x:v>
      </x:c>
      <x:c r="T40" s="31" t="str">
        <x:v>Role emphasizes C/C++ or Rust, embedded/real-time systems and hardware integration, and the mandatory export-control status is incompatible with the H-1B objective.</x:v>
      </x:c>
      <x:c r="U40" s="31" t="str">
        <x:v>Not used</x:v>
      </x:c>
      <x:c r="V40" s="31" t="str">
        <x:v>None</x:v>
      </x:c>
      <x:c r="W40" s="31" t="str">
        <x:v>Halted after full description review due mandatory U.S.-person requirement.</x:v>
      </x:c>
    </x:row>
    <x:row r="41">
      <x:c r="A41" s="28" t="str">
        <x:v>Atoms</x:v>
      </x:c>
      <x:c r="B41" s="28" t="str">
        <x:v>Software Engineer - New Grad</x:v>
      </x:c>
      <x:c r="C41" s="28" t="str">
        <x:v>Not located in current LinkedIn results; official role independently verified</x:v>
      </x:c>
      <x:c r="D41" s="28" t="str">
        <x:v>https://job-boards.greenhouse.io/cssmerge/jobs/8687930002</x:v>
      </x:c>
      <x:c r="E41" s="29" t="str">
        <x:v>2026-09-07</x:v>
      </x:c>
      <x:c r="F41" s="29" t="str">
        <x:v>2026-09-07</x:v>
      </x:c>
      <x:c r="G41" s="29"/>
      <x:c r="H41" s="29"/>
      <x:c r="I41" s="28" t="str">
        <x:v>Halted</x:v>
      </x:c>
      <x:c r="J41" s="30" t="n">
        <x:v>120000</x:v>
      </x:c>
      <x:c r="K41" s="30" t="n">
        <x:v>140000</x:v>
      </x:c>
      <x:c r="L41" s="28" t="str">
        <x:v>15-1252</x:v>
      </x:c>
      <x:c r="M41" s="28" t="str">
        <x:v>Software Developers</x:v>
      </x:c>
      <x:c r="N41" s="31" t="str">
        <x:v>Available locations are New York, Seattle, Los Angeles, Mountain View or San Francisco. The $120K–$140K range is below the Level 1 benchmark in the highest-cost listed tech markets, including San Francisco/San Jose ($152,797), and location selection cannot cure the explicit GPA uncertainty.</x:v>
      </x:c>
      <x:c r="O41" s="31" t="str">
        <x:v>None selected</x:v>
      </x:c>
      <x:c r="P41" s="31" t="str">
        <x:v>New York; Seattle; Los Angeles; Mountain View; San Francisco</x:v>
      </x:c>
      <x:c r="Q41" s="31" t="str">
        <x:v>On-site, five days/week</x:v>
      </x:c>
      <x:c r="R41" s="31" t="str">
        <x:v>Not stated</x:v>
      </x:c>
      <x:c r="S41" s="31" t="str">
        <x:v>Technically strong; wage and eligibility risk</x:v>
      </x:c>
      <x:c r="T41" s="31" t="str">
        <x:v>Java, PostgreSQL, AWS/GCP, REST APIs, distributed systems, Docker and CI/CD align, but the role has a hard 3.7 minimum GPA not documented on the resume.</x:v>
      </x:c>
      <x:c r="U41" s="31" t="str">
        <x:v>Not used</x:v>
      </x:c>
      <x:c r="V41" s="31" t="str">
        <x:v>GPA is required for eligibility but is not present in the resume.</x:v>
      </x:c>
      <x:c r="W41" s="31" t="str">
        <x:v>Halted because the posted salary is weak for the listed markets and the hard GPA threshold cannot be verified.</x:v>
      </x:c>
    </x:row>
    <x:row r="42">
      <x:c r="A42" s="28" t="str">
        <x:v>InterSystems</x:v>
      </x:c>
      <x:c r="B42" s="28" t="str">
        <x:v>Core Development Program (Software Engineer Rotational Program – Early Career)</x:v>
      </x:c>
      <x:c r="C42" s="28" t="str">
        <x:v>https://www.linkedin.com/jobs/view/4462048364/</x:v>
      </x:c>
      <x:c r="D42" s="28" t="str">
        <x:v>https://job-boards.greenhouse.io/intersystems/jobs/7827894003</x:v>
      </x:c>
      <x:c r="E42" s="29" t="str">
        <x:v>LinkedIn posted 2026-09-01</x:v>
      </x:c>
      <x:c r="F42" s="29" t="str">
        <x:v>2026-09-08</x:v>
      </x:c>
      <x:c r="G42" s="29" t="str">
        <x:v>2026-09-08</x:v>
      </x:c>
      <x:c r="H42" s="29"/>
      <x:c r="I42" s="28" t="str">
        <x:v>Submitted</x:v>
      </x:c>
      <x:c r="J42" s="30" t="n">
        <x:v>100000</x:v>
      </x:c>
      <x:c r="K42" s="30" t="n">
        <x:v>125000</x:v>
      </x:c>
      <x:c r="L42" s="28" t="str">
        <x:v>15-1252</x:v>
      </x:c>
      <x:c r="M42" s="28" t="str">
        <x:v>Software Developers</x:v>
      </x:c>
      <x:c r="N42" s="31" t="str">
        <x:v>The Boston range of $100,000-$125,000 straddles the local entry-level Software Developers benchmark: the lower portion is risky, while the upper portion can satisfy Level 1. Final offered base should be at or above the applicable Level 1 determination.</x:v>
      </x:c>
      <x:c r="O42" s="31" t="str">
        <x:v>Boston, MA</x:v>
      </x:c>
      <x:c r="P42" s="31"/>
      <x:c r="Q42" s="31" t="str">
        <x:v>On-site; full-time rotational program</x:v>
      </x:c>
      <x:c r="R42" s="31" t="str">
        <x:v>Potentially compatible: the posting identifies InterSystems as E-Verify and the application accepts a Yes response for future employment-based sponsorship without stating an exclusion.</x:v>
      </x:c>
      <x:c r="S42" s="31" t="str">
        <x:v>Exceptional eligibility and technical fit; wage-floor caution</x:v>
      </x:c>
      <x:c r="T42" s="31" t="str">
        <x:v>Fall 2026 graduation, Python/JavaScript, data structures, algorithms, OOP, AI/agent tools, projects and cross-team rotations align directly with the candidate’s education and experience.</x:v>
      </x:c>
      <x:c r="U42" s="31" t="str">
        <x:v>Yuxuan_Chen_Resume_Salesforce_Software_Engineering_AMTS_20260907.pdf uploaded successfully</x:v>
      </x:c>
      <x:c r="V42" s="31" t="str">
        <x:v>None</x:v>
      </x:c>
      <x:c r="W42" s="31" t="str">
        <x:v>Submitted successfully through Greenhouse on 2026-09-08. Official confirmation displayed: “Thank you for applying. Your application has been received.” Optional cover letter was omitted.</x:v>
      </x:c>
    </x:row>
    <x:row r="43">
      <x:c r="A43" s="28" t="str">
        <x:v>Solace Health</x:v>
      </x:c>
      <x:c r="B43" s="28" t="str">
        <x:v>Associate Product Engineer (College Grad 2027)</x:v>
      </x:c>
      <x:c r="C43" s="28" t="str">
        <x:v>Not located in current LinkedIn results; official role independently verified</x:v>
      </x:c>
      <x:c r="D43" s="28" t="str">
        <x:v>https://jobs.ashbyhq.com/solace/db008474-d93e-41a7-939e-8d5825eb0d0f</x:v>
      </x:c>
      <x:c r="E43" s="29" t="str">
        <x:v>2026-08-31</x:v>
      </x:c>
      <x:c r="F43" s="29" t="str">
        <x:v>2026-09-07</x:v>
      </x:c>
      <x:c r="G43" s="29"/>
      <x:c r="H43" s="29"/>
      <x:c r="I43" s="28" t="str">
        <x:v>Halted</x:v>
      </x:c>
      <x:c r="J43" s="30"/>
      <x:c r="K43" s="30"/>
      <x:c r="L43" s="28" t="str">
        <x:v>15-1252</x:v>
      </x:c>
      <x:c r="M43" s="28" t="str">
        <x:v>Software Developers</x:v>
      </x:c>
      <x:c r="N43" s="31" t="str">
        <x:v>Redwood City, CA salary is undisclosed; Bay Area Level 1 is high and compatibility cannot be established.</x:v>
      </x:c>
      <x:c r="O43" s="31" t="str">
        <x:v>Redwood City, CA</x:v>
      </x:c>
      <x:c r="P43" s="31"/>
      <x:c r="Q43" s="31" t="str">
        <x:v>Hybrid, three days/week in office</x:v>
      </x:c>
      <x:c r="R43" s="31" t="str">
        <x:v>Not stated</x:v>
      </x:c>
      <x:c r="S43" s="31" t="str">
        <x:v>Technically very strong; education-window mismatch</x:v>
      </x:c>
      <x:c r="T43" s="31" t="str">
        <x:v>TypeScript, React, Node.js, Python, Postgres, APIs, AI coding tools and product shipping align exceptionally well, but the posting specifically requires a bachelor's degree graduating December 2026–June 2027; the candidate's bachelor's was completed in 2024 and current 2026 degree is an MS.</x:v>
      </x:c>
      <x:c r="U43" s="31" t="str">
        <x:v>Not used</x:v>
      </x:c>
      <x:c r="V43" s="31" t="str">
        <x:v>None</x:v>
      </x:c>
      <x:c r="W43" s="31" t="str">
        <x:v>Halted because the explicit bachelor's graduation window does not match the resume, despite excellent technical fit.</x:v>
      </x:c>
    </x:row>
    <x:row r="44">
      <x:c r="A44" s="28" t="str">
        <x:v>Solace Health</x:v>
      </x:c>
      <x:c r="B44" s="28" t="str">
        <x:v>Associate Data Engineer (College Grad 2027)</x:v>
      </x:c>
      <x:c r="C44" s="28" t="str">
        <x:v>Not located in current LinkedIn results; official role independently verified</x:v>
      </x:c>
      <x:c r="D44" s="28" t="str">
        <x:v>https://jobs.ashbyhq.com/solace/7deb5d7e-9960-4407-9600-aa8e84d9edba</x:v>
      </x:c>
      <x:c r="E44" s="29" t="str">
        <x:v>2026-08-31</x:v>
      </x:c>
      <x:c r="F44" s="29" t="str">
        <x:v>2026-09-07</x:v>
      </x:c>
      <x:c r="G44" s="29"/>
      <x:c r="H44" s="29"/>
      <x:c r="I44" s="28" t="str">
        <x:v>Halted</x:v>
      </x:c>
      <x:c r="J44" s="30"/>
      <x:c r="K44" s="30"/>
      <x:c r="L44" s="28" t="str">
        <x:v>15-1243</x:v>
      </x:c>
      <x:c r="M44" s="28" t="str">
        <x:v>Database Architects</x:v>
      </x:c>
      <x:c r="N44" s="31" t="str">
        <x:v>Redwood City, CA salary is undisclosed; location-specific prevailing-wage compatibility cannot be confirmed.</x:v>
      </x:c>
      <x:c r="O44" s="31" t="str">
        <x:v>Redwood City, CA</x:v>
      </x:c>
      <x:c r="P44" s="31"/>
      <x:c r="Q44" s="31" t="str">
        <x:v>Hybrid, three days/week in office</x:v>
      </x:c>
      <x:c r="R44" s="31" t="str">
        <x:v>Not stated</x:v>
      </x:c>
      <x:c r="S44" s="31" t="str">
        <x:v>Strong technical fit; education-window mismatch</x:v>
      </x:c>
      <x:c r="T44" s="31" t="str">
        <x:v>Python, SQL, PostgreSQL, AWS/GCP, data pipelines and production ownership align, but the posting specifies a bachelor's degree graduating December 2026–June 2027 rather than a 2026 master's graduate.</x:v>
      </x:c>
      <x:c r="U44" s="31" t="str">
        <x:v>Not used</x:v>
      </x:c>
      <x:c r="V44" s="31" t="str">
        <x:v>None</x:v>
      </x:c>
      <x:c r="W44" s="31" t="str">
        <x:v>Halted because the explicit bachelor's graduation window does not match the resume.</x:v>
      </x:c>
    </x:row>
    <x:row r="45">
      <x:c r="A45" s="28" t="str">
        <x:v>Garner Health</x:v>
      </x:c>
      <x:c r="B45" s="28" t="str">
        <x:v>Associate Software Engineer</x:v>
      </x:c>
      <x:c r="C45" s="28" t="str">
        <x:v>Not located in current LinkedIn results; official role independently verified</x:v>
      </x:c>
      <x:c r="D45" s="28" t="str">
        <x:v>https://job-boards.greenhouse.io/garnerhealth/jobs/6174210004</x:v>
      </x:c>
      <x:c r="E45" s="29" t="str">
        <x:v>2026-09-05</x:v>
      </x:c>
      <x:c r="F45" s="29" t="str">
        <x:v>2026-09-07</x:v>
      </x:c>
      <x:c r="G45" s="29"/>
      <x:c r="H45" s="29"/>
      <x:c r="I45" s="28" t="str">
        <x:v>Halted</x:v>
      </x:c>
      <x:c r="J45" s="30" t="n">
        <x:v>150000</x:v>
      </x:c>
      <x:c r="K45" s="30" t="n">
        <x:v>150000</x:v>
      </x:c>
      <x:c r="L45" s="28" t="str">
        <x:v>15-1252</x:v>
      </x:c>
      <x:c r="M45" s="28" t="str">
        <x:v>Software Developers</x:v>
      </x:c>
      <x:c r="N45" s="31" t="str">
        <x:v>New York 15-1252 Level 1 is $109,845 and Level 2 is $137,717; $150,000 clears both, but sponsorship is explicitly unavailable.</x:v>
      </x:c>
      <x:c r="O45" s="31" t="str">
        <x:v>New York City, NY</x:v>
      </x:c>
      <x:c r="P45" s="31"/>
      <x:c r="Q45" s="31" t="str">
        <x:v>Not specified</x:v>
      </x:c>
      <x:c r="R45" s="31" t="str">
        <x:v>Explicitly unavailable: employer cannot sponsor or take over employment visa sponsorship.</x:v>
      </x:c>
      <x:c r="S45" s="31" t="str">
        <x:v>Ineligible</x:v>
      </x:c>
      <x:c r="T45" s="31" t="str">
        <x:v>React, Python, Node.js, PostgreSQL, AWS, Docker and AI agents align closely, but the visa rule conflicts with the user's objective.</x:v>
      </x:c>
      <x:c r="U45" s="31" t="str">
        <x:v>Not used</x:v>
      </x:c>
      <x:c r="V45" s="31" t="str">
        <x:v>None</x:v>
      </x:c>
      <x:c r="W45" s="31" t="str">
        <x:v>Halted immediately after sponsorship review.</x:v>
      </x:c>
    </x:row>
    <x:row r="46">
      <x:c r="A46" s="28" t="str">
        <x:v>WeRide.ai</x:v>
      </x:c>
      <x:c r="B46" s="28" t="str">
        <x:v>New Grads 2027 - Software Engineer, Algorithm</x:v>
      </x:c>
      <x:c r="C46" s="28" t="str">
        <x:v>Not located in current LinkedIn results; official role independently verified</x:v>
      </x:c>
      <x:c r="D46" s="28" t="str">
        <x:v>https://jobs.lever.co/weride/5a7cbc83-2381-482e-9d6d-e9c9d59ad63b/apply</x:v>
      </x:c>
      <x:c r="E46" s="29" t="str">
        <x:v>2026-09-04</x:v>
      </x:c>
      <x:c r="F46" s="29" t="str">
        <x:v>2026-09-07</x:v>
      </x:c>
      <x:c r="G46" s="29" t="str">
        <x:v>2026-09-09</x:v>
      </x:c>
      <x:c r="H46" s="29" t="str">
        <x:v>2026-09-09</x:v>
      </x:c>
      <x:c r="I46" s="28" t="str">
        <x:v>Rejected</x:v>
      </x:c>
      <x:c r="J46" s="30" t="n">
        <x:v>120000</x:v>
      </x:c>
      <x:c r="K46" s="30" t="n">
        <x:v>165000</x:v>
      </x:c>
      <x:c r="L46" s="28" t="str">
        <x:v>15-2051</x:v>
      </x:c>
      <x:c r="M46" s="28" t="str">
        <x:v>Data Scientists</x:v>
      </x:c>
      <x:c r="N46" s="31" t="str">
        <x:v>San Jose-Sunnyvale 15-1252 software-developer proxy: L1 $152,797; L2 $187,075; L3 $221,374; L4 $255,653. The $120K-$165K range clears Level 1 only above $152,797 and does not reach Level 2, so the upper part of the range is necessary.</x:v>
      </x:c>
      <x:c r="O46" s="31" t="str">
        <x:v>San Jose, CA</x:v>
      </x:c>
      <x:c r="P46" s="31"/>
      <x:c r="Q46" s="31" t="str">
        <x:v>On-site</x:v>
      </x:c>
      <x:c r="R46" s="31" t="str">
        <x:v>Application explicitly accepts a truthful future-sponsorship answer; posting does not state automatic exclusion.</x:v>
      </x:c>
      <x:c r="S46" s="31" t="str">
        <x:v>Strong technical stretch</x:v>
      </x:c>
      <x:c r="T46" s="31" t="str">
        <x:v>Exact MS graduation window, Python, ML/NLP research, large-scale data processing and LLM evaluation align. Main stretch is limited direct robotics, simulation and autonomous-driving experience.</x:v>
      </x:c>
      <x:c r="U46" s="31" t="str">
        <x:v>Yuxuan_Chen_Resume_Giga_Software_Engineer_AI_Agents_20260907.pdf</x:v>
      </x:c>
      <x:c r="V46" s="31" t="str">
        <x:v>None</x:v>
      </x:c>
      <x:c r="W46" s="31" t="str">
        <x:v>Submitted successfully through the official Lever form on 2026-09-09. Official confirmation: Application submitted! Full-time, December 2026 graduation, lawful post-graduation work authorization Yes, future sponsorship Yes, and no non-U.S. locations selected. Email update reviewed 2026-09-21. Rejection received 2026-09-15: WeRide.ai decided not to move forward at this time.</x:v>
      </x:c>
    </x:row>
    <x:row r="47">
      <x:c r="A47" s="28" t="str">
        <x:v>IMC Trading</x:v>
      </x:c>
      <x:c r="B47" s="28" t="str">
        <x:v>Graduate Software Engineer</x:v>
      </x:c>
      <x:c r="C47" s="28" t="str">
        <x:v>Not located in current LinkedIn results; official role independently verified</x:v>
      </x:c>
      <x:c r="D47" s="28" t="str">
        <x:v>https://job-boards.greenhouse.io/imc/jobs/4818790101</x:v>
      </x:c>
      <x:c r="E47" s="29" t="str">
        <x:v>2026-09-07</x:v>
      </x:c>
      <x:c r="F47" s="29" t="str">
        <x:v>2026-09-07</x:v>
      </x:c>
      <x:c r="G47" s="29"/>
      <x:c r="H47" s="29" t="str">
        <x:v>2026-09-13</x:v>
      </x:c>
      <x:c r="I47" s="28" t="str">
        <x:v>Rejected</x:v>
      </x:c>
      <x:c r="J47" s="30" t="n">
        <x:v>200000</x:v>
      </x:c>
      <x:c r="K47" s="30" t="n">
        <x:v>200000</x:v>
      </x:c>
      <x:c r="L47" s="28" t="str">
        <x:v>15-1252</x:v>
      </x:c>
      <x:c r="M47" s="28" t="str">
        <x:v>Software Developers</x:v>
      </x:c>
      <x:c r="N47" s="31" t="str">
        <x:v>Chicago-Naperville-Elgin 15-1252: L1 $92,789; L2 $117,083; L3 $141,398; L4 $165,693. The $200,000 base salary clears all four workbook wage levels.</x:v>
      </x:c>
      <x:c r="O47" s="31" t="str">
        <x:v>Chicago, IL</x:v>
      </x:c>
      <x:c r="P47" s="31"/>
      <x:c r="Q47" s="31" t="str">
        <x:v>Not specified</x:v>
      </x:c>
      <x:c r="R47" s="31" t="str">
        <x:v>The form asks both current and future sponsorship needs and does not state an automatic exclusion.</x:v>
      </x:c>
      <x:c r="S47" s="31" t="str">
        <x:v>Strong</x:v>
      </x:c>
      <x:c r="T47" s="31" t="str">
        <x:v>Exact Sep 2026-Jul 2027 graduation window, Java/Python, algorithms, data structures, analytical work and cross-functional collaboration align. Finance experience is not required.</x:v>
      </x:c>
      <x:c r="U47" s="31" t="str">
        <x:v>Not used yet</x:v>
      </x:c>
      <x:c r="V47" s="31" t="str">
        <x:v>None</x:v>
      </x:c>
      <x:c r="W47" s="31" t="str">
        <x:v>Full official description and Greenhouse form reviewed. Excellent wage compatibility, but required factual fields cannot be inferred or fabricated. Email update reviewed 2026-09-21. Rejection received 2026-09-15: IMC Trading decided to move forward with other candidates for Graduate Software Engineer.</x:v>
      </x:c>
    </x:row>
    <x:row r="48">
      <x:c r="A48" s="28" t="str">
        <x:v>Barclays</x:v>
      </x:c>
      <x:c r="B48" s="28" t="str">
        <x:v>2027 Technology Developer Graduate Program - Whippany</x:v>
      </x:c>
      <x:c r="C48" s="28" t="str">
        <x:v>https://www.linkedin.com/jobs/view/4461802174/</x:v>
      </x:c>
      <x:c r="D48" s="28" t="str">
        <x:v>https://barclays.wd3.myworkdayjobs.com/External_Career_Site_Barclays/job/XMLNAME-2027-Technology-Developer-Graduate-Program-Whippany_JR-0000123244/apply</x:v>
      </x:c>
      <x:c r="E48" s="29" t="str">
        <x:v>2026-09-06</x:v>
      </x:c>
      <x:c r="F48" s="29" t="str">
        <x:v>2026-09-07</x:v>
      </x:c>
      <x:c r="G48" s="29" t="str">
        <x:v>2026-09-08</x:v>
      </x:c>
      <x:c r="H48" s="29"/>
      <x:c r="I48" s="28" t="str">
        <x:v>Needs input</x:v>
      </x:c>
      <x:c r="J48" s="30" t="n">
        <x:v>105000</x:v>
      </x:c>
      <x:c r="K48" s="30" t="n">
        <x:v>110000</x:v>
      </x:c>
      <x:c r="L48" s="28" t="str">
        <x:v>15-1252</x:v>
      </x:c>
      <x:c r="M48" s="28" t="str">
        <x:v>Software Developers</x:v>
      </x:c>
      <x:c r="N48" s="31" t="str">
        <x:v>Whippany is in the New York-Newark-Jersey City wage area: L1 $109,845, L2 $137,717, L3 $165,589 and L4 $193,461. Only the top $155 of the $105,000-$110,000 range clears Level 1, so H-1B wage compatibility is fragile.</x:v>
      </x:c>
      <x:c r="O48" s="31" t="str">
        <x:v>Whippany, NJ</x:v>
      </x:c>
      <x:c r="P48" s="31"/>
      <x:c r="Q48" s="31" t="str">
        <x:v>On-site</x:v>
      </x:c>
      <x:c r="R48" s="31" t="str">
        <x:v>Conditional but compatible: Barclays normally excludes sponsorship, except for candidates enrolled in or graduating from a DHS/DOE STEM field for STEM OPT purposes. The candidate’s Software Engineering Systems MS is STEM-designated and meets the stated exception, subject to employer confirmation.</x:v>
      </x:c>
      <x:c r="S48" s="31" t="str">
        <x:v>Exceptional graduate-program fit with wage caution</x:v>
      </x:c>
      <x:c r="T48" s="31" t="str">
        <x:v>The role requires a degree completed before June 2027, GPA of at least 3.2 and coding ability in one language. The December 2026 MS, 3.4 GPA, Java/Python/TypeScript background, testing, secure development and ML/GenAI experience meet or exceed those requirements.</x:v>
      </x:c>
      <x:c r="U48" s="31" t="str">
        <x:v>Yuxuan_Chen_Resume_DV_Trading_Graduate_Software_Engineer_20260908.pdf planned</x:v>
      </x:c>
      <x:c r="V48" s="31" t="str">
        <x:v>Manual Barclays Workday account creation or sign-in is required. Action-time confirmation is then required before transmitting contact details, address, education/work history, F-1/OPT sponsorship data and resume to Barclays.</x:v>
      </x:c>
      <x:c r="W48" s="31" t="str">
        <x:v>High-priority 2027 graduate application. Full LinkedIn and Barclays descriptions reviewed. Official Workday flow has seven steps and is open at Create Account; the user must set the password manually. The browser tab was left visible for handoff. Closing date is September 28. Reuse the existing DV Trading graduate SWE resume; no new version needed.</x:v>
      </x:c>
    </x:row>
    <x:row r="49">
      <x:c r="A49" s="28" t="str">
        <x:v>Jobright.ai</x:v>
      </x:c>
      <x:c r="B49" s="28" t="str">
        <x:v>AI Engineer, Entry Level</x:v>
      </x:c>
      <x:c r="C49" s="28" t="str">
        <x:v>https://www.linkedin.com/jobs/view/4462679909/</x:v>
      </x:c>
      <x:c r="D49" s="28" t="str">
        <x:v>https://jobright.ai/jobs/info/b2b_1784889469389_579</x:v>
      </x:c>
      <x:c r="E49" s="29" t="str">
        <x:v>2026-09-07</x:v>
      </x:c>
      <x:c r="F49" s="29" t="str">
        <x:v>2026-09-07</x:v>
      </x:c>
      <x:c r="G49" s="29"/>
      <x:c r="H49" s="29"/>
      <x:c r="I49" s="28" t="str">
        <x:v>Halted</x:v>
      </x:c>
      <x:c r="J49" s="30"/>
      <x:c r="K49" s="30"/>
      <x:c r="L49" s="28" t="str">
        <x:v>15-2051</x:v>
      </x:c>
      <x:c r="M49" s="28" t="str">
        <x:v>Data Scientists</x:v>
      </x:c>
      <x:c r="N49" s="31" t="str">
        <x:v>Remote United States with no salary or employing worksite disclosed; location-specific prevailing-wage compatibility cannot yet be established.</x:v>
      </x:c>
      <x:c r="O49" s="31" t="str">
        <x:v>Remote U.S. (worksite pending)</x:v>
      </x:c>
      <x:c r="P49" s="31" t="str">
        <x:v>United States</x:v>
      </x:c>
      <x:c r="Q49" s="31" t="str">
        <x:v>Remote</x:v>
      </x:c>
      <x:c r="R49" s="31" t="str">
        <x:v>Explicitly unavailable: Jobright's direct role page labels this position 'No H1B'.</x:v>
      </x:c>
      <x:c r="S49" s="31" t="str">
        <x:v>Exceptional technical fit but ineligible</x:v>
      </x:c>
      <x:c r="T49" s="31" t="str">
        <x:v>Direct overlap with Python, NLP and information retrieval, prompts, embeddings, RAG, structured outputs, LLM APIs, model evaluation, data pipelines, latency analysis and production AI agents.</x:v>
      </x:c>
      <x:c r="U49" s="31" t="str">
        <x:v>Not used</x:v>
      </x:c>
      <x:c r="V49" s="31" t="str">
        <x:v>None</x:v>
      </x:c>
      <x:c r="W49" s="31" t="str">
        <x:v>Posted nine hours before final review. Halted after the direct Jobright page explicitly displayed 'No H1B'.</x:v>
      </x:c>
    </x:row>
    <x:row r="50">
      <x:c r="A50" s="28" t="str">
        <x:v>Optiver</x:v>
      </x:c>
      <x:c r="B50" s="28" t="str">
        <x:v>Software Engineer</x:v>
      </x:c>
      <x:c r="C50" s="28" t="str">
        <x:v>https://www.linkedin.com/jobs/view/4423653676/</x:v>
      </x:c>
      <x:c r="D50" s="28" t="str">
        <x:v>https://www.optiver.com/join-us/jobs/technology/austin/software-engineer/</x:v>
      </x:c>
      <x:c r="E50" s="29" t="str">
        <x:v>2026-09-07</x:v>
      </x:c>
      <x:c r="F50" s="29" t="str">
        <x:v>2026-09-07</x:v>
      </x:c>
      <x:c r="G50" s="29"/>
      <x:c r="H50" s="29"/>
      <x:c r="I50" s="28" t="str">
        <x:v>Halted</x:v>
      </x:c>
      <x:c r="J50" s="30"/>
      <x:c r="K50" s="30"/>
      <x:c r="L50" s="28" t="str">
        <x:v>15-1252</x:v>
      </x:c>
      <x:c r="M50" s="28" t="str">
        <x:v>Software Developers</x:v>
      </x:c>
      <x:c r="N50" s="31" t="str">
        <x:v>Austin-Round Rock-San Marcos 15-1252: L1 $95,888; L2 $119,642; L3 $143,395; L4 $167,149. Salary is undisclosed, so offer-level compatibility must be checked.</x:v>
      </x:c>
      <x:c r="O50" s="31" t="str">
        <x:v>Austin, TX</x:v>
      </x:c>
      <x:c r="P50" s="31"/>
      <x:c r="Q50" s="31" t="str">
        <x:v>On-site</x:v>
      </x:c>
      <x:c r="R50" s="31" t="str">
        <x:v>Not stated in the full posting; Optiver is retained for further application-form review rather than assumed eligible.</x:v>
      </x:c>
      <x:c r="S50" s="31" t="str">
        <x:v>Strong technical stretch</x:v>
      </x:c>
      <x:c r="T50" s="31" t="str">
        <x:v>Python, algorithms, data systems, system design and cross-functional engineering align. The role also favors low-latency trading systems and C/C++/C#, where the resume has less direct evidence.</x:v>
      </x:c>
      <x:c r="U50" s="31" t="str">
        <x:v>Not used yet</x:v>
      </x:c>
      <x:c r="V50" s="31" t="str">
        <x:v>Action-time confirmation is required before transmitting contact details and resume.</x:v>
      </x:c>
      <x:c r="W50" s="31" t="str">
        <x:v>Reposted within 24 hours. Full LinkedIn description and official Optiver URL verified.</x:v>
      </x:c>
    </x:row>
    <x:row r="51">
      <x:c r="A51" s="28" t="str">
        <x:v>Anduril Industries</x:v>
      </x:c>
      <x:c r="B51" s="28" t="str">
        <x:v>2027 Early Career Software Engineer</x:v>
      </x:c>
      <x:c r="C51" s="28" t="str">
        <x:v>https://www.linkedin.com/jobs/view/4427643568/</x:v>
      </x:c>
      <x:c r="D51" s="28" t="str">
        <x:v>Pending Anduril careers redirect</x:v>
      </x:c>
      <x:c r="E51" s="29" t="str">
        <x:v>2026-08-31</x:v>
      </x:c>
      <x:c r="F51" s="29" t="str">
        <x:v>2026-09-07</x:v>
      </x:c>
      <x:c r="G51" s="29"/>
      <x:c r="H51" s="29"/>
      <x:c r="I51" s="28" t="str">
        <x:v>Halted</x:v>
      </x:c>
      <x:c r="J51" s="30" t="n">
        <x:v>112000</x:v>
      </x:c>
      <x:c r="K51" s="30" t="n">
        <x:v>149000</x:v>
      </x:c>
      <x:c r="L51" s="28" t="str">
        <x:v>15-1252</x:v>
      </x:c>
      <x:c r="M51" s="28" t="str">
        <x:v>Software Developers</x:v>
      </x:c>
      <x:c r="N51" s="31" t="str">
        <x:v>Seattle 15-1252 comparison is secondary because the mandatory U.S.-person/export-control requirement is incompatible with the visa objective.</x:v>
      </x:c>
      <x:c r="O51" s="31" t="str">
        <x:v>Seattle, WA</x:v>
      </x:c>
      <x:c r="P51" s="31"/>
      <x:c r="Q51" s="31" t="str">
        <x:v>Not specified</x:v>
      </x:c>
      <x:c r="R51" s="31" t="str">
        <x:v>Ineligible: applicants must be U.S. persons due to export-controlled information or facilities; clearance eligibility may also be required.</x:v>
      </x:c>
      <x:c r="S51" s="31" t="str">
        <x:v>Ineligible</x:v>
      </x:c>
      <x:c r="T51" s="31" t="str">
        <x:v>The degree window and programming background align, but the mandatory U.S.-person requirement conflicts with the candidate's sponsorship need.</x:v>
      </x:c>
      <x:c r="U51" s="31" t="str">
        <x:v>Not used</x:v>
      </x:c>
      <x:c r="V51" s="31" t="str">
        <x:v>None</x:v>
      </x:c>
      <x:c r="W51" s="31" t="str">
        <x:v>Halted immediately after full description review because of the export-control eligibility requirement.</x:v>
      </x:c>
    </x:row>
    <x:row r="52">
      <x:c r="A52" s="28" t="str">
        <x:v>Canonical</x:v>
      </x:c>
      <x:c r="B52" s="28" t="str">
        <x:v>Software Engineer - Python - Cloud - graduate level</x:v>
      </x:c>
      <x:c r="C52" s="28" t="str">
        <x:v>LinkedIn recommendation observed; stable job ID not captured</x:v>
      </x:c>
      <x:c r="D52" s="28" t="str">
        <x:v>https://canonical.com/careers/3257589</x:v>
      </x:c>
      <x:c r="E52" s="29" t="str">
        <x:v>2026-09-04</x:v>
      </x:c>
      <x:c r="F52" s="29" t="str">
        <x:v>2026-09-07</x:v>
      </x:c>
      <x:c r="G52" s="29"/>
      <x:c r="H52" s="29"/>
      <x:c r="I52" s="28" t="str">
        <x:v>Needs input</x:v>
      </x:c>
      <x:c r="J52" s="30"/>
      <x:c r="K52" s="30"/>
      <x:c r="L52" s="28" t="str">
        <x:v>15-1252</x:v>
      </x:c>
      <x:c r="M52" s="28" t="str">
        <x:v>Software Developers</x:v>
      </x:c>
      <x:c r="N52" s="31" t="str">
        <x:v>Home-based Americas with salary and final employing worksite undisclosed; prevailing-wage compatibility depends on the assigned U.S. worksite and offer.</x:v>
      </x:c>
      <x:c r="O52" s="31" t="str">
        <x:v>Remote U.S. / Americas</x:v>
      </x:c>
      <x:c r="P52" s="31" t="str">
        <x:v>Home Based - Americas</x:v>
      </x:c>
      <x:c r="Q52" s="31" t="str">
        <x:v>Remote; international travel two to four weeks per year</x:v>
      </x:c>
      <x:c r="R52" s="31" t="str">
        <x:v>Not stated on the official page; application requires current country and nationality.</x:v>
      </x:c>
      <x:c r="S52" s="31" t="str">
        <x:v>Strong technical stretch</x:v>
      </x:c>
      <x:c r="T52" s="31" t="str">
        <x:v>Python, AWS/GCP, Docker, CI/CD, production deployment and distributed collaboration align. The main stretch is the request for extensive Python-on-Linux experience plus Ubuntu administration or Debian packaging.</x:v>
      </x:c>
      <x:c r="U52" s="31" t="str">
        <x:v>Not used yet</x:v>
      </x:c>
      <x:c r="V52" s="31" t="str">
        <x:v>Canonical explicitly requires application narrative answers to use only the applicant's own words and disqualifies AI-generated content; the applicant must personally write the Python/Linux, cloud provisioning and Go/Rust responses.</x:v>
      </x:c>
      <x:c r="W52" s="31" t="str">
        <x:v>Official role and form reviewed. The agent can populate factual fields after action-time confirmation but must not author the prohibited narrative responses.</x:v>
      </x:c>
    </x:row>
    <x:row r="53">
      <x:c r="A53" s="28" t="str">
        <x:v>Jobright.ai</x:v>
      </x:c>
      <x:c r="B53" s="28" t="str">
        <x:v>Python Engineer, New Grad</x:v>
      </x:c>
      <x:c r="C53" s="28" t="str">
        <x:v>https://www.linkedin.com/jobs/view/4445756142/</x:v>
      </x:c>
      <x:c r="D53" s="28" t="str">
        <x:v>Pending Jobright external destination</x:v>
      </x:c>
      <x:c r="E53" s="29" t="str">
        <x:v>2026-09-07</x:v>
      </x:c>
      <x:c r="F53" s="29" t="str">
        <x:v>2026-09-07</x:v>
      </x:c>
      <x:c r="G53" s="29"/>
      <x:c r="H53" s="29"/>
      <x:c r="I53" s="28" t="str">
        <x:v>Halted</x:v>
      </x:c>
      <x:c r="J53" s="30"/>
      <x:c r="K53" s="30"/>
      <x:c r="L53" s="28" t="str">
        <x:v>15-1252</x:v>
      </x:c>
      <x:c r="M53" s="28" t="str">
        <x:v>Software Developers</x:v>
      </x:c>
      <x:c r="N53" s="31" t="str">
        <x:v>Remote United States with no salary or employing worksite disclosed; location-specific wage compatibility cannot be confirmed until an offer identifies the worksite.</x:v>
      </x:c>
      <x:c r="O53" s="31" t="str">
        <x:v>Remote U.S. (worksite pending)</x:v>
      </x:c>
      <x:c r="P53" s="31" t="str">
        <x:v>United States</x:v>
      </x:c>
      <x:c r="Q53" s="31" t="str">
        <x:v>Remote</x:v>
      </x:c>
      <x:c r="R53" s="31" t="str">
        <x:v>Company's direct Jobright postings are labeled 'No H1B'; this duplicate role is not retained for a visa-focused application.</x:v>
      </x:c>
      <x:c r="S53" s="31" t="str">
        <x:v>Exceptional technical fit but ineligible</x:v>
      </x:c>
      <x:c r="T53" s="31" t="str">
        <x:v>Python, FastAPI, REST APIs, PostgreSQL, Docker, AWS/GCP, CI/CD, data pipelines and LLM-agent interests all directly match the resume.</x:v>
      </x:c>
      <x:c r="U53" s="31" t="str">
        <x:v>Not used</x:v>
      </x:c>
      <x:c r="V53" s="31" t="str">
        <x:v>None</x:v>
      </x:c>
      <x:c r="W53" s="31" t="str">
        <x:v>Halted after direct employer-page sponsorship review; Jobright's associated roles are explicitly marked No H1B.</x:v>
      </x:c>
    </x:row>
    <x:row r="54">
      <x:c r="A54" s="28" t="str">
        <x:v>Precisely</x:v>
      </x:c>
      <x:c r="B54" s="28" t="str">
        <x:v>Associate Software Engineer (Python AI)</x:v>
      </x:c>
      <x:c r="C54" s="28" t="str">
        <x:v>https://www.linkedin.com/jobs/view/4461646433/</x:v>
      </x:c>
      <x:c r="D54" s="28" t="str">
        <x:v>https://www.precisely.com/careers-and-culture/us-jobs/job/?gh_jid=4722721005</x:v>
      </x:c>
      <x:c r="E54" s="29" t="str">
        <x:v>2026-09-05</x:v>
      </x:c>
      <x:c r="F54" s="29" t="str">
        <x:v>2026-09-07</x:v>
      </x:c>
      <x:c r="G54" s="29" t="str">
        <x:v>2026-09-07</x:v>
      </x:c>
      <x:c r="H54" s="29" t="str">
        <x:v>2026-09-07</x:v>
      </x:c>
      <x:c r="I54" s="28" t="str">
        <x:v>Rejected</x:v>
      </x:c>
      <x:c r="J54" s="30"/>
      <x:c r="K54" s="30"/>
      <x:c r="L54" s="28" t="str">
        <x:v>15-1252</x:v>
      </x:c>
      <x:c r="M54" s="28" t="str">
        <x:v>Software Developers</x:v>
      </x:c>
      <x:c r="N54" s="31" t="str">
        <x:v>The role is remote anywhere in the United States and salary is undisclosed; the final employing worksite and offer are required for a defensible prevailing-wage comparison.</x:v>
      </x:c>
      <x:c r="O54" s="31" t="str">
        <x:v>Remote U.S.; Massachusetts listing</x:v>
      </x:c>
      <x:c r="P54" s="31" t="str">
        <x:v>Remote anywhere in the United States; duplicate Arizona listing observed</x:v>
      </x:c>
      <x:c r="Q54" s="31" t="str">
        <x:v>100% remote</x:v>
      </x:c>
      <x:c r="R54" s="31" t="str">
        <x:v>Not stated in the complete posting; Precisely publishes H-1B LCA notices, showing company-level sponsorship activity, but this does not guarantee sponsorship for this role.</x:v>
      </x:c>
      <x:c r="S54" s="31" t="str">
        <x:v>Exceptional</x:v>
      </x:c>
      <x:c r="T54" s="31" t="str">
        <x:v>Direct match to Python AI applications, Pydantic-adjacent typed APIs, TypeScript/JavaScript, REST APIs, LLMs, Git, CI/CD, backend/data engineering and AWS/GCP. The one-year enterprise software requirement is reasonably supported by research and internship experience.</x:v>
      </x:c>
      <x:c r="U54" s="31" t="str">
        <x:v>Yuxuan Chen Resume.pdf content entered manually through Greenhouse</x:v>
      </x:c>
      <x:c r="V54" s="31" t="str">
        <x:v>None</x:v>
      </x:c>
      <x:c r="W54" s="31" t="str">
        <x:v>Rejected by email on 2026-09-09 for the Associate Software Engineer (Python AI) role. Precisely said it selected a candidate whose qualifications were better suited. Original application was submitted successfully through Greenhouse on 2026-09-07.</x:v>
      </x:c>
    </x:row>
    <x:row r="55">
      <x:c r="A55" s="28" t="str">
        <x:v>SpaceX</x:v>
      </x:c>
      <x:c r="B55" s="28" t="str">
        <x:v>Software Engineer (Platform Team)</x:v>
      </x:c>
      <x:c r="C55" s="28" t="str">
        <x:v>https://www.linkedin.com/jobs/view/4398320770/</x:v>
      </x:c>
      <x:c r="D55" s="28" t="str">
        <x:v>Pending SpaceX careers redirect</x:v>
      </x:c>
      <x:c r="E55" s="29" t="str">
        <x:v>2026-09-07</x:v>
      </x:c>
      <x:c r="F55" s="29" t="str">
        <x:v>2026-09-07</x:v>
      </x:c>
      <x:c r="G55" s="29"/>
      <x:c r="H55" s="29"/>
      <x:c r="I55" s="28" t="str">
        <x:v>Halted</x:v>
      </x:c>
      <x:c r="J55" s="30" t="n">
        <x:v>125000</x:v>
      </x:c>
      <x:c r="K55" s="30" t="n">
        <x:v>175000</x:v>
      </x:c>
      <x:c r="L55" s="28" t="str">
        <x:v>15-1252</x:v>
      </x:c>
      <x:c r="M55" s="28" t="str">
        <x:v>Software Developers</x:v>
      </x:c>
      <x:c r="N55" s="31" t="str">
        <x:v>Hawthorne/Los Angeles salary spans $125K-$175K, but wage analysis is secondary because the export-control eligibility rule is incompatible with the user's visa objective.</x:v>
      </x:c>
      <x:c r="O55" s="31" t="str">
        <x:v>Hawthorne, CA</x:v>
      </x:c>
      <x:c r="P55" s="31"/>
      <x:c r="Q55" s="31" t="str">
        <x:v>On-site</x:v>
      </x:c>
      <x:c r="R55" s="31" t="str">
        <x:v>Ineligible: ITAR rule requires U.S. citizen/national, lawful permanent resident, refugee, asylee, or separate Department of State authorization.</x:v>
      </x:c>
      <x:c r="S55" s="31" t="str">
        <x:v>Exceptional technical fit but legally ineligible</x:v>
      </x:c>
      <x:c r="T55" s="31" t="str">
        <x:v>AI gateways, internal developer platforms, Docker, multi-cloud integrations, model onboarding, MLOps, Python, Java/TypeScript and AI code-review tooling closely match the resume, but the mandatory export-control condition conflicts with the H-1B objective.</x:v>
      </x:c>
      <x:c r="U55" s="31" t="str">
        <x:v>Not used</x:v>
      </x:c>
      <x:c r="V55" s="31" t="str">
        <x:v>None</x:v>
      </x:c>
      <x:c r="W55" s="31" t="str">
        <x:v>Reposted within 24 hours and fully reviewed. Halted immediately because of the ITAR eligibility requirement.</x:v>
      </x:c>
    </x:row>
    <x:row r="56">
      <x:c r="A56" s="28" t="str">
        <x:v>Clark</x:v>
      </x:c>
      <x:c r="B56" s="28" t="str">
        <x:v>Junior Software Engineer</x:v>
      </x:c>
      <x:c r="C56" s="28" t="str">
        <x:v>Not located in current LinkedIn results; official role independently verified</x:v>
      </x:c>
      <x:c r="D56" s="28" t="str">
        <x:v>https://jobs.ashbyhq.com/clark/78fae57b-98da-46c2-be2e-11a1ca5bb5eb</x:v>
      </x:c>
      <x:c r="E56" s="29" t="str">
        <x:v>2026-09-04</x:v>
      </x:c>
      <x:c r="F56" s="29" t="str">
        <x:v>2026-09-07</x:v>
      </x:c>
      <x:c r="G56" s="29" t="str">
        <x:v>2026-09-09</x:v>
      </x:c>
      <x:c r="H56" s="29" t="str">
        <x:v>2026-09-09</x:v>
      </x:c>
      <x:c r="I56" s="28" t="str">
        <x:v>Rejected</x:v>
      </x:c>
      <x:c r="J56" s="30"/>
      <x:c r="K56" s="30"/>
      <x:c r="L56" s="28" t="str">
        <x:v>15-1252</x:v>
      </x:c>
      <x:c r="M56" s="28" t="str">
        <x:v>Software Developers</x:v>
      </x:c>
      <x:c r="N56" s="31" t="str">
        <x:v>New York-Newark-Jersey City 15-1252: L1 $109,845; L2 $137,717; L3 $165,589; L4 $193,461. Salary is undisclosed, so the eventual offer must be checked against these thresholds.</x:v>
      </x:c>
      <x:c r="O56" s="31" t="str">
        <x:v>New York City, NY</x:v>
      </x:c>
      <x:c r="P56" s="31"/>
      <x:c r="Q56" s="31" t="str">
        <x:v>On-site, five days/week</x:v>
      </x:c>
      <x:c r="R56" s="31" t="str">
        <x:v>Not stated in the full official posting.</x:v>
      </x:c>
      <x:c r="S56" s="31" t="str">
        <x:v>Very strong</x:v>
      </x:c>
      <x:c r="T56" s="31" t="str">
        <x:v>The 0-2 year window explicitly accepts internships and projects. TypeScript, React, Node/Python, AI/LLM tooling, data-heavy workflows, integrations and internal tools closely match the resume.</x:v>
      </x:c>
      <x:c r="U56" s="31" t="str">
        <x:v>Yuxuan_Chen_Resume_Zip_Software_Engineer_New_Grad_20260907.pdf</x:v>
      </x:c>
      <x:c r="V56" s="31" t="str">
        <x:v>None</x:v>
      </x:c>
      <x:c r="W56" s="31" t="str">
        <x:v>Submitted successfully through the official Ashby form on 2026-09-09. Official confirmation: Your application was successfully submitted.</x:v>
      </x:c>
    </x:row>
    <x:row r="57">
      <x:c r="A57" s="28" t="str">
        <x:v>Handshake</x:v>
      </x:c>
      <x:c r="B57" s="28" t="str">
        <x:v>Associate Software Engineer, Reinforcement Learning Environments</x:v>
      </x:c>
      <x:c r="C57" s="28" t="str">
        <x:v>Not located in current LinkedIn results; official role independently verified</x:v>
      </x:c>
      <x:c r="D57" s="28" t="str">
        <x:v>https://jobs.ashbyhq.com/handshake/e871b11e-f6c2-4adf-aeb5-278eac4aa153</x:v>
      </x:c>
      <x:c r="E57" s="29" t="str">
        <x:v>2026-08-07</x:v>
      </x:c>
      <x:c r="F57" s="29" t="str">
        <x:v>2026-09-07</x:v>
      </x:c>
      <x:c r="G57" s="29"/>
      <x:c r="H57" s="29"/>
      <x:c r="I57" s="28" t="str">
        <x:v>Halted</x:v>
      </x:c>
      <x:c r="J57" s="30" t="n">
        <x:v>135000</x:v>
      </x:c>
      <x:c r="K57" s="30" t="n">
        <x:v>150000</x:v>
      </x:c>
      <x:c r="L57" s="28" t="str">
        <x:v>15-1252</x:v>
      </x:c>
      <x:c r="M57" s="28" t="str">
        <x:v>Software Developers</x:v>
      </x:c>
      <x:c r="N57" s="31" t="str">
        <x:v>San Jose-Sunnyvale/San Francisco proxy 15-1252 Level 1 is $152,797. The entire $135K-$150K range falls below Level 1, so the role is poor for the user's wage-weighted H-1B strategy.</x:v>
      </x:c>
      <x:c r="O57" s="31" t="str">
        <x:v>San Francisco, CA</x:v>
      </x:c>
      <x:c r="P57" s="31"/>
      <x:c r="Q57" s="31" t="str">
        <x:v>On-site, five days/week</x:v>
      </x:c>
      <x:c r="R57" s="31" t="str">
        <x:v>Not stated in the complete posting.</x:v>
      </x:c>
      <x:c r="S57" s="31" t="str">
        <x:v>Exceptional technical fit; wage-incompatible</x:v>
      </x:c>
      <x:c r="T57" s="31" t="str">
        <x:v>RLE systems, backend APIs, React/TypeScript, PostgreSQL, AWS/GCP, data pipelines and model evaluation align directly, but the posted compensation does not clear the local Level 1 benchmark.</x:v>
      </x:c>
      <x:c r="U57" s="31" t="str">
        <x:v>Not used</x:v>
      </x:c>
      <x:c r="V57" s="31" t="str">
        <x:v>None</x:v>
      </x:c>
      <x:c r="W57" s="31" t="str">
        <x:v>Halted under the requested wage/lottery prioritization despite excellent technical fit.</x:v>
      </x:c>
    </x:row>
    <x:row r="58">
      <x:c r="A58" s="28" t="str">
        <x:v>AiPrise</x:v>
      </x:c>
      <x:c r="B58" s="28" t="str">
        <x:v>Software Engineer I</x:v>
      </x:c>
      <x:c r="C58" s="28" t="str">
        <x:v>Not located in current LinkedIn results; official role independently verified</x:v>
      </x:c>
      <x:c r="D58" s="28" t="str">
        <x:v>https://jobs.ashbyhq.com/aiprise/baf8a79b-d035-4bc1-8b12-4ef48e0257ba</x:v>
      </x:c>
      <x:c r="E58" s="29" t="str">
        <x:v>2026-09-07</x:v>
      </x:c>
      <x:c r="F58" s="29" t="str">
        <x:v>2026-09-07</x:v>
      </x:c>
      <x:c r="G58" s="29"/>
      <x:c r="H58" s="29"/>
      <x:c r="I58" s="28" t="str">
        <x:v>Halted</x:v>
      </x:c>
      <x:c r="J58" s="30" t="n">
        <x:v>115000</x:v>
      </x:c>
      <x:c r="K58" s="30" t="n">
        <x:v>150000</x:v>
      </x:c>
      <x:c r="L58" s="28" t="str">
        <x:v>15-1252</x:v>
      </x:c>
      <x:c r="M58" s="28" t="str">
        <x:v>Software Developers</x:v>
      </x:c>
      <x:c r="N58" s="31" t="str">
        <x:v>San Jose-Sunnyvale 15-1252 Level 1 is $152,797. The entire $115K-$150K range is below Level 1.</x:v>
      </x:c>
      <x:c r="O58" s="31" t="str">
        <x:v>San Jose, CA</x:v>
      </x:c>
      <x:c r="P58" s="31"/>
      <x:c r="Q58" s="31" t="str">
        <x:v>On-site</x:v>
      </x:c>
      <x:c r="R58" s="31" t="str">
        <x:v>Not stated in the full official posting.</x:v>
      </x:c>
      <x:c r="S58" s="31" t="str">
        <x:v>Very strong technical fit; wage-incompatible</x:v>
      </x:c>
      <x:c r="T58" s="31" t="str">
        <x:v>AI agents, compliance orchestration, backend APIs, distributed systems and production ownership fit well, but compensation is below the local Level 1 benchmark.</x:v>
      </x:c>
      <x:c r="U58" s="31" t="str">
        <x:v>Not used</x:v>
      </x:c>
      <x:c r="V58" s="31" t="str">
        <x:v>None</x:v>
      </x:c>
      <x:c r="W58" s="31" t="str">
        <x:v>Halted under the requested wage-level strategy; even the maximum listed salary is $2,797 below local Level 1.</x:v>
      </x:c>
    </x:row>
    <x:row r="59">
      <x:c r="A59" s="28" t="str">
        <x:v>Collective</x:v>
      </x:c>
      <x:c r="B59" s="28" t="str">
        <x:v>Software Engineer (New Grad)</x:v>
      </x:c>
      <x:c r="C59" s="28" t="str">
        <x:v>Not captured</x:v>
      </x:c>
      <x:c r="D59" s="28" t="str">
        <x:v>https://jobs.ashbyhq.com/collective/40516856-b29c-4b38-b434-68be5241bacf</x:v>
      </x:c>
      <x:c r="E59" s="29" t="str">
        <x:v>Within the last month (exact date unavailable)</x:v>
      </x:c>
      <x:c r="F59" s="29" t="str">
        <x:v>2026-09-07</x:v>
      </x:c>
      <x:c r="G59" s="29"/>
      <x:c r="H59" s="29"/>
      <x:c r="I59" s="28" t="str">
        <x:v>Halted</x:v>
      </x:c>
      <x:c r="J59" s="30" t="n">
        <x:v>115000</x:v>
      </x:c>
      <x:c r="K59" s="30" t="n">
        <x:v>125000</x:v>
      </x:c>
      <x:c r="L59" s="28" t="str">
        <x:v>15-1252</x:v>
      </x:c>
      <x:c r="M59" s="28" t="str">
        <x:v>Software Developers</x:v>
      </x:c>
      <x:c r="N59" s="31" t="str">
        <x:v>San Francisco 15-1252 Level 1 is $152,797. The entire posted $115,000-$125,000 range falls below Level 1.</x:v>
      </x:c>
      <x:c r="O59" s="31" t="str">
        <x:v>San Francisco, CA</x:v>
      </x:c>
      <x:c r="P59" s="31"/>
      <x:c r="Q59" s="31" t="str">
        <x:v>Hybrid, 3 days/week onsite</x:v>
      </x:c>
      <x:c r="R59" s="31" t="str">
        <x:v>Not stated; wage range is independently incompatible with the H-1B wage benchmark used.</x:v>
      </x:c>
      <x:c r="S59" s="31" t="str">
        <x:v>Strong technical fit; visa-wage incompatible</x:v>
      </x:c>
      <x:c r="T59" s="31" t="str">
        <x:v>Excellent overlap with Python/Django, React/TypeScript, GenAI/LLMs, full-stack ownership, and 0-2 year experience target.</x:v>
      </x:c>
      <x:c r="U59" s="31" t="str">
        <x:v>Not used</x:v>
      </x:c>
      <x:c r="V59" s="31" t="str">
        <x:v>None</x:v>
      </x:c>
      <x:c r="W59" s="31" t="str">
        <x:v>Halted after full-description and wage review because the full salary range is below the San Francisco Level 1 benchmark.</x:v>
      </x:c>
    </x:row>
    <x:row r="60">
      <x:c r="A60" s="28" t="str">
        <x:v>Angle Health</x:v>
      </x:c>
      <x:c r="B60" s="28" t="str">
        <x:v>Software Engineer - New Grad (NYC)</x:v>
      </x:c>
      <x:c r="C60" s="28" t="str">
        <x:v>Not captured</x:v>
      </x:c>
      <x:c r="D60" s="28" t="str">
        <x:v>https://jobs.ashbyhq.com/anglehealth/57a7f685-b5db-46d7-8531-b86a830712af</x:v>
      </x:c>
      <x:c r="E60" s="29" t="str">
        <x:v>Previously indexed; exact date unavailable</x:v>
      </x:c>
      <x:c r="F60" s="29" t="str">
        <x:v>2026-09-07</x:v>
      </x:c>
      <x:c r="G60" s="29"/>
      <x:c r="H60" s="29"/>
      <x:c r="I60" s="28" t="str">
        <x:v>Halted</x:v>
      </x:c>
      <x:c r="J60" s="30" t="n">
        <x:v>100000</x:v>
      </x:c>
      <x:c r="K60" s="30" t="n">
        <x:v>160000</x:v>
      </x:c>
      <x:c r="L60" s="28" t="str">
        <x:v>15-1252</x:v>
      </x:c>
      <x:c r="M60" s="28" t="str">
        <x:v>Software Developers</x:v>
      </x:c>
      <x:c r="N60" s="31" t="str">
        <x:v>NYC Level 1 is $109,845 and Level 2 is $137,717. The posted range spans below Level 1 through above Level 2, but the live application page now returns Job not found.</x:v>
      </x:c>
      <x:c r="O60" s="31" t="str">
        <x:v>New York, NY</x:v>
      </x:c>
      <x:c r="P60" s="31"/>
      <x:c r="Q60" s="31" t="str">
        <x:v>On-site</x:v>
      </x:c>
      <x:c r="R60" s="31" t="str">
        <x:v>Not stated</x:v>
      </x:c>
      <x:c r="S60" s="31" t="str">
        <x:v>Strong</x:v>
      </x:c>
      <x:c r="T60" s="31" t="str">
        <x:v>Strong overlap with Python, React, TypeScript, Java, full-stack web applications, and the 0-2 year new-graduate target.</x:v>
      </x:c>
      <x:c r="U60" s="31" t="str">
        <x:v>Not used</x:v>
      </x:c>
      <x:c r="V60" s="31" t="str">
        <x:v>None</x:v>
      </x:c>
      <x:c r="W60" s="31" t="str">
        <x:v>Halted because the official Ashby job and application URLs now return Job not found, indicating the role is closed or removed.</x:v>
      </x:c>
    </x:row>
    <x:row r="61">
      <x:c r="A61" s="28" t="str">
        <x:v>Quantcast</x:v>
      </x:c>
      <x:c r="B61" s="28" t="str">
        <x:v>Software Engineer</x:v>
      </x:c>
      <x:c r="C61" s="28" t="str">
        <x:v>Not captured</x:v>
      </x:c>
      <x:c r="D61" s="28" t="str">
        <x:v>https://jobs.ashbyhq.com/quantcast/9dff7e55-ebac-4af5-a57c-e3c9892fc5ee/</x:v>
      </x:c>
      <x:c r="E61" s="29" t="str">
        <x:v>Within the last month (exact date unavailable)</x:v>
      </x:c>
      <x:c r="F61" s="29" t="str">
        <x:v>2026-09-07</x:v>
      </x:c>
      <x:c r="G61" s="29"/>
      <x:c r="H61" s="29"/>
      <x:c r="I61" s="28" t="str">
        <x:v>Halted</x:v>
      </x:c>
      <x:c r="J61" s="30"/>
      <x:c r="K61" s="30"/>
      <x:c r="L61" s="28" t="str">
        <x:v>15-1252</x:v>
      </x:c>
      <x:c r="M61" s="28" t="str">
        <x:v>Software Developers</x:v>
      </x:c>
      <x:c r="N61" s="31" t="str">
        <x:v>London role; U.S. H-1B wage analysis does not apply.</x:v>
      </x:c>
      <x:c r="O61" s="31" t="str">
        <x:v>London, United Kingdom</x:v>
      </x:c>
      <x:c r="P61" s="31"/>
      <x:c r="Q61" s="31" t="str">
        <x:v>Not captured</x:v>
      </x:c>
      <x:c r="R61" s="31" t="str">
        <x:v>Non-U.S. role</x:v>
      </x:c>
      <x:c r="S61" s="31" t="str">
        <x:v>Strong technical fit; location incompatible</x:v>
      </x:c>
      <x:c r="T61" s="31" t="str">
        <x:v>Matches 0-2 years, Java/Python, algorithms, data structures, systems design, and distributed software interests.</x:v>
      </x:c>
      <x:c r="U61" s="31" t="str">
        <x:v>Not used</x:v>
      </x:c>
      <x:c r="V61" s="31" t="str">
        <x:v>None</x:v>
      </x:c>
      <x:c r="W61" s="31" t="str">
        <x:v>Halted because the position is based in London and does not serve the U.S. employment-visa objective.</x:v>
      </x:c>
    </x:row>
    <x:row r="62">
      <x:c r="A62" s="28" t="str">
        <x:v>Quantcast</x:v>
      </x:c>
      <x:c r="B62" s="28" t="str">
        <x:v>Full Stack Software Engineer</x:v>
      </x:c>
      <x:c r="C62" s="28" t="str">
        <x:v>Not captured</x:v>
      </x:c>
      <x:c r="D62" s="28" t="str">
        <x:v>https://jobs.ashbyhq.com/quantcast/37f1f490-61c2-4f34-85cd-e38cc8870ad4</x:v>
      </x:c>
      <x:c r="E62" s="29" t="str">
        <x:v>2026-09-01 or later</x:v>
      </x:c>
      <x:c r="F62" s="29" t="str">
        <x:v>2026-09-07</x:v>
      </x:c>
      <x:c r="G62" s="29"/>
      <x:c r="H62" s="29"/>
      <x:c r="I62" s="28" t="str">
        <x:v>Halted</x:v>
      </x:c>
      <x:c r="J62" s="30"/>
      <x:c r="K62" s="30"/>
      <x:c r="L62" s="28" t="str">
        <x:v>15-1252</x:v>
      </x:c>
      <x:c r="M62" s="28" t="str">
        <x:v>Software Developers</x:v>
      </x:c>
      <x:c r="N62" s="31" t="str">
        <x:v>Berlin role; U.S. H-1B wage analysis does not apply.</x:v>
      </x:c>
      <x:c r="O62" s="31" t="str">
        <x:v>Berlin, Germany</x:v>
      </x:c>
      <x:c r="P62" s="31"/>
      <x:c r="Q62" s="31" t="str">
        <x:v>Hybrid</x:v>
      </x:c>
      <x:c r="R62" s="31" t="str">
        <x:v>Non-U.S. role</x:v>
      </x:c>
      <x:c r="S62" s="31" t="str">
        <x:v>Strong technical fit; location incompatible</x:v>
      </x:c>
      <x:c r="T62" s="31" t="str">
        <x:v>Good overlap with Java, Python, React, SQL, APIs, deployment, and 0-2 years of experience.</x:v>
      </x:c>
      <x:c r="U62" s="31" t="str">
        <x:v>Not used</x:v>
      </x:c>
      <x:c r="V62" s="31" t="str">
        <x:v>None</x:v>
      </x:c>
      <x:c r="W62" s="31" t="str">
        <x:v>Halted after full-description review because the official role is based in Berlin.</x:v>
      </x:c>
    </x:row>
    <x:row r="63">
      <x:c r="A63" s="28" t="str">
        <x:v>Valency Systems Inc.</x:v>
      </x:c>
      <x:c r="B63" s="28" t="str">
        <x:v>Entry-Level Software Engineer (Full-stack)</x:v>
      </x:c>
      <x:c r="C63" s="28" t="str">
        <x:v>Not captured</x:v>
      </x:c>
      <x:c r="D63" s="28" t="str">
        <x:v>https://jobs.ashbyhq.com/valency/2bcd9b30-d76b-40ee-afc7-43302ce18fff/</x:v>
      </x:c>
      <x:c r="E63" s="29" t="str">
        <x:v>Previously indexed; exact date unavailable</x:v>
      </x:c>
      <x:c r="F63" s="29" t="str">
        <x:v>2026-09-07</x:v>
      </x:c>
      <x:c r="G63" s="29"/>
      <x:c r="H63" s="29"/>
      <x:c r="I63" s="28" t="str">
        <x:v>Halted</x:v>
      </x:c>
      <x:c r="J63" s="30"/>
      <x:c r="K63" s="30"/>
      <x:c r="L63" s="28" t="str">
        <x:v>15-1252</x:v>
      </x:c>
      <x:c r="M63" s="28" t="str">
        <x:v>Software Developers</x:v>
      </x:c>
      <x:c r="N63" s="31" t="str">
        <x:v>Berkeley/San Francisco wage benchmark would apply, but salary was not disclosed and the live posting has been removed.</x:v>
      </x:c>
      <x:c r="O63" s="31" t="str">
        <x:v>Berkeley, CA</x:v>
      </x:c>
      <x:c r="P63" s="31"/>
      <x:c r="Q63" s="31" t="str">
        <x:v>Hybrid, 3 days/week onsite</x:v>
      </x:c>
      <x:c r="R63" s="31" t="str">
        <x:v>Posting said candidates must be legally authorized to work in the U.S.; future sponsorship was not stated.</x:v>
      </x:c>
      <x:c r="S63" s="31" t="str">
        <x:v>Strong</x:v>
      </x:c>
      <x:c r="T63" s="31" t="str">
        <x:v>Matches 0-2 years, full-stack development, AI coding tools, open-science interest, and research infrastructure experience.</x:v>
      </x:c>
      <x:c r="U63" s="31" t="str">
        <x:v>Not used</x:v>
      </x:c>
      <x:c r="V63" s="31" t="str">
        <x:v>None</x:v>
      </x:c>
      <x:c r="W63" s="31" t="str">
        <x:v>Halted because the official Ashby page now returns Job not found.</x:v>
      </x:c>
    </x:row>
    <x:row r="64">
      <x:c r="A64" s="28" t="str">
        <x:v>Abundance Incubator</x:v>
      </x:c>
      <x:c r="B64" s="28" t="str">
        <x:v>Backend Engineer</x:v>
      </x:c>
      <x:c r="C64" s="28" t="str">
        <x:v>https://www.linkedin.com/jobs/view/4461857728/</x:v>
      </x:c>
      <x:c r="D64" s="28" t="str">
        <x:v>https://abundance-incubator.com/career-post/backend-engineer</x:v>
      </x:c>
      <x:c r="E64" s="29" t="str">
        <x:v>2026-09-07</x:v>
      </x:c>
      <x:c r="F64" s="29" t="str">
        <x:v>2026-09-07</x:v>
      </x:c>
      <x:c r="G64" s="29"/>
      <x:c r="H64" s="29"/>
      <x:c r="I64" s="28" t="str">
        <x:v>Halted</x:v>
      </x:c>
      <x:c r="J64" s="30"/>
      <x:c r="K64" s="30"/>
      <x:c r="L64" s="28" t="str">
        <x:v>27-1024</x:v>
      </x:c>
      <x:c r="M64" s="28" t="str">
        <x:v>Graphic Designers (interface-design content)</x:v>
      </x:c>
      <x:c r="N64" s="31" t="str">
        <x:v>Not applicable to a software-developer application because the body describes an interface designer role and provides no compensation.</x:v>
      </x:c>
      <x:c r="O64" s="31" t="str">
        <x:v>Remote U.S.</x:v>
      </x:c>
      <x:c r="P64" s="31"/>
      <x:c r="Q64" s="31" t="str">
        <x:v>Remote</x:v>
      </x:c>
      <x:c r="R64" s="31" t="str">
        <x:v>Not stated</x:v>
      </x:c>
      <x:c r="S64" s="31" t="str">
        <x:v>Low / mislabeled</x:v>
      </x:c>
      <x:c r="T64" s="31" t="str">
        <x:v>Despite the Backend Engineer title, the full description requires Figma, Sketch, Adobe XD, UI/UX, typography, visual hierarchy, and proven interface-design experience.</x:v>
      </x:c>
      <x:c r="U64" s="31" t="str">
        <x:v>Not used</x:v>
      </x:c>
      <x:c r="V64" s="31" t="str">
        <x:v>None</x:v>
      </x:c>
      <x:c r="W64" s="31" t="str">
        <x:v>Halted because the job is materially mislabeled and is actually an interface-design position.</x:v>
      </x:c>
    </x:row>
    <x:row r="65">
      <x:c r="A65" s="28" t="str">
        <x:v>Avenio AI</x:v>
      </x:c>
      <x:c r="B65" s="28" t="str">
        <x:v>Full Stack Engineer</x:v>
      </x:c>
      <x:c r="C65" s="28" t="str">
        <x:v>https://www.linkedin.com/jobs/view/4461684931/</x:v>
      </x:c>
      <x:c r="D65" s="28" t="str">
        <x:v>https://www.linkedin.com/jobs/view/4461684931/apply/?openSDUIApplyFlow=true</x:v>
      </x:c>
      <x:c r="E65" s="29" t="str">
        <x:v>2026-09-07</x:v>
      </x:c>
      <x:c r="F65" s="29" t="str">
        <x:v>2026-09-07</x:v>
      </x:c>
      <x:c r="G65" s="29"/>
      <x:c r="H65" s="29"/>
      <x:c r="I65" s="28" t="str">
        <x:v>Halted</x:v>
      </x:c>
      <x:c r="J65" s="30" t="n">
        <x:v>0</x:v>
      </x:c>
      <x:c r="K65" s="30" t="n">
        <x:v>0</x:v>
      </x:c>
      <x:c r="L65" s="28" t="str">
        <x:v>15-1252</x:v>
      </x:c>
      <x:c r="M65" s="28" t="str">
        <x:v>Software Developers</x:v>
      </x:c>
      <x:c r="N65" s="31" t="str">
        <x:v>The position explicitly offers equity only and no salary. It cannot satisfy any H-1B prevailing-wage level.</x:v>
      </x:c>
      <x:c r="O65" s="31" t="str">
        <x:v>Remote U.S.</x:v>
      </x:c>
      <x:c r="P65" s="31"/>
      <x:c r="Q65" s="31" t="str">
        <x:v>Remote</x:v>
      </x:c>
      <x:c r="R65" s="31" t="str">
        <x:v>Not stated; equity-only compensation is incompatible with the wage objective.</x:v>
      </x:c>
      <x:c r="S65" s="31" t="str">
        <x:v>Excellent technical fit; compensation incompatible</x:v>
      </x:c>
      <x:c r="T65" s="31" t="str">
        <x:v>Near-direct match to 0-2 years, React/Next.js/TypeScript, APIs, relational databases, RAG, LLM evaluation, GCP, Docker, and Playwright.</x:v>
      </x:c>
      <x:c r="U65" s="31" t="str">
        <x:v>Not used</x:v>
      </x:c>
      <x:c r="V65" s="31" t="str">
        <x:v>None</x:v>
      </x:c>
      <x:c r="W65" s="31" t="str">
        <x:v>Halted after full-description review because compensation is equity only, despite unusually strong technical alignment.</x:v>
      </x:c>
    </x:row>
    <x:row r="66">
      <x:c r="A66" s="28" t="str">
        <x:v>Dutch Pet, Inc.</x:v>
      </x:c>
      <x:c r="B66" s="28" t="str">
        <x:v>Software Engineer (Web Developer)</x:v>
      </x:c>
      <x:c r="C66" s="28" t="str">
        <x:v>https://www.linkedin.com/jobs/view/4463190350/</x:v>
      </x:c>
      <x:c r="D66" s="28" t="str">
        <x:v>https://jobs.lever.co/dutch/ef1c88fa-7c07-44d8-95ef-56f45dd4e1e5/apply</x:v>
      </x:c>
      <x:c r="E66" s="29" t="str">
        <x:v>2026-09-04</x:v>
      </x:c>
      <x:c r="F66" s="29" t="str">
        <x:v>2026-09-07</x:v>
      </x:c>
      <x:c r="G66" s="29"/>
      <x:c r="H66" s="29"/>
      <x:c r="I66" s="28" t="str">
        <x:v>Halted</x:v>
      </x:c>
      <x:c r="J66" s="30" t="n">
        <x:v>149198</x:v>
      </x:c>
      <x:c r="K66" s="30" t="n">
        <x:v>155000</x:v>
      </x:c>
      <x:c r="L66" s="28" t="str">
        <x:v>15-1254</x:v>
      </x:c>
      <x:c r="M66" s="28" t="str">
        <x:v>Web Developers</x:v>
      </x:c>
      <x:c r="N66" s="31" t="str">
        <x:v>100% telecommuting with unanticipated U.S. worksites; wage comparison depends on the actual worksite. The posting's unusually specific salary and experience language resembles a labor-certification notice, but that does not establish sponsorship for a new applicant.</x:v>
      </x:c>
      <x:c r="O66" s="31" t="str">
        <x:v>Remote U.S. / Oakland, CA employer location</x:v>
      </x:c>
      <x:c r="P66" s="31"/>
      <x:c r="Q66" s="31" t="str">
        <x:v>Remote</x:v>
      </x:c>
      <x:c r="R66" s="31" t="str">
        <x:v>Not stated</x:v>
      </x:c>
      <x:c r="S66" s="31" t="str">
        <x:v>Low-to-moderate</x:v>
      </x:c>
      <x:c r="T66" s="31" t="str">
        <x:v>React, TypeScript, CSS, Git, and full-stack experience overlap, but the role requires a bachelor's plus two years specifically covering React Native, GraphQL, and end-to-end web/mobile deployment; the resume does not substantiate those exact requirements.</x:v>
      </x:c>
      <x:c r="U66" s="31" t="str">
        <x:v>Not used</x:v>
      </x:c>
      <x:c r="V66" s="31" t="str">
        <x:v>None</x:v>
      </x:c>
      <x:c r="W66" s="31" t="str">
        <x:v>Halted after reviewing the official Lever description because the precise two-year React Native and GraphQL requirements are not realistically met.</x:v>
      </x:c>
    </x:row>
    <x:row r="67">
      <x:c r="A67" s="28" t="str">
        <x:v>Helios Systems Asia</x:v>
      </x:c>
      <x:c r="B67" s="28" t="str">
        <x:v>AI Engineers / Developers (Agentic AI)</x:v>
      </x:c>
      <x:c r="C67" s="28" t="str">
        <x:v>https://www.linkedin.com/jobs/view/4462915376/</x:v>
      </x:c>
      <x:c r="D67" s="28" t="str">
        <x:v>LinkedIn Apply</x:v>
      </x:c>
      <x:c r="E67" s="29" t="str">
        <x:v>2026-09-07</x:v>
      </x:c>
      <x:c r="F67" s="29" t="str">
        <x:v>2026-09-07</x:v>
      </x:c>
      <x:c r="G67" s="29"/>
      <x:c r="H67" s="29"/>
      <x:c r="I67" s="28" t="str">
        <x:v>Halted</x:v>
      </x:c>
      <x:c r="J67" s="30" t="n">
        <x:v>124800</x:v>
      </x:c>
      <x:c r="K67" s="30" t="n">
        <x:v>176800</x:v>
      </x:c>
      <x:c r="L67" s="28" t="str">
        <x:v>15-2051</x:v>
      </x:c>
      <x:c r="M67" s="28" t="str">
        <x:v>Data Scientists</x:v>
      </x:c>
      <x:c r="N67" s="31" t="str">
        <x:v>At $60-$85/hour, annualized pay is approximately $124,800-$176,800. Several listed locations could clear lower prevailing-wage levels, but immigration eligibility is explicitly incompatible.</x:v>
      </x:c>
      <x:c r="O67" s="31" t="str">
        <x:v>Atlanta, GA</x:v>
      </x:c>
      <x:c r="P67" s="31" t="str">
        <x:v>Bedminster NJ; Middletown NJ; Alpharetta GA; Bothell WA; Dallas TX</x:v>
      </x:c>
      <x:c r="Q67" s="31" t="str">
        <x:v>Hybrid contract, 12+ months</x:v>
      </x:c>
      <x:c r="R67" s="31" t="str">
        <x:v>Posting states any valid work authorization is accepted but OPT is not accepted; incompatible with the candidate's expected post-graduation work authorization path.</x:v>
      </x:c>
      <x:c r="S67" s="31" t="str">
        <x:v>Strong technical fit; authorization incompatible</x:v>
      </x:c>
      <x:c r="T67" s="31" t="str">
        <x:v>Direct overlap with agentic AI development, deployment, integration, enterprise use cases, and independent software engineering.</x:v>
      </x:c>
      <x:c r="U67" s="31" t="str">
        <x:v>Not used</x:v>
      </x:c>
      <x:c r="V67" s="31" t="str">
        <x:v>None</x:v>
      </x:c>
      <x:c r="W67" s="31" t="str">
        <x:v>Halted immediately after full-description review because OPT is explicitly excluded.</x:v>
      </x:c>
    </x:row>
    <x:row r="68">
      <x:c r="A68" s="28" t="str">
        <x:v>RingCentral</x:v>
      </x:c>
      <x:c r="B68" s="28" t="str">
        <x:v>Professional Services Contact Center Engineer</x:v>
      </x:c>
      <x:c r="C68" s="28" t="str">
        <x:v>https://www.linkedin.com/jobs/view/4457163559/</x:v>
      </x:c>
      <x:c r="D68" s="28" t="str">
        <x:v>LinkedIn external apply</x:v>
      </x:c>
      <x:c r="E68" s="29" t="str">
        <x:v>2026-09-07 (reposted)</x:v>
      </x:c>
      <x:c r="F68" s="29" t="str">
        <x:v>2026-09-07</x:v>
      </x:c>
      <x:c r="G68" s="29"/>
      <x:c r="H68" s="29"/>
      <x:c r="I68" s="28" t="str">
        <x:v>Halted</x:v>
      </x:c>
      <x:c r="J68" s="30" t="n">
        <x:v>88200</x:v>
      </x:c>
      <x:c r="K68" s="30" t="n">
        <x:v>115000</x:v>
      </x:c>
      <x:c r="L68" s="28" t="str">
        <x:v>15-1299</x:v>
      </x:c>
      <x:c r="M68" s="28" t="str">
        <x:v>Computer Occupations, All Other</x:v>
      </x:c>
      <x:c r="N68" s="31" t="str">
        <x:v>The disclosed range for specified high-cost states is $88,200-$115,000; it is below the software-developer Level 1 benchmarks for New York, San Francisco, and Boston and the actual remote worksite is unspecified.</x:v>
      </x:c>
      <x:c r="O68" s="31" t="str">
        <x:v>Remote U.S.</x:v>
      </x:c>
      <x:c r="P68" s="31"/>
      <x:c r="Q68" s="31" t="str">
        <x:v>Remote with occasional travel</x:v>
      </x:c>
      <x:c r="R68" s="31" t="str">
        <x:v>Not stated</x:v>
      </x:c>
      <x:c r="S68" s="31" t="str">
        <x:v>Low</x:v>
      </x:c>
      <x:c r="T68" s="31" t="str">
        <x:v>Requires 2+ years in professional-services implementation plus mandatory contact-center expertise covering PBX, CTI, VoIP, IVR, ACD, and WFM, which the resume does not show.</x:v>
      </x:c>
      <x:c r="U68" s="31" t="str">
        <x:v>Not used</x:v>
      </x:c>
      <x:c r="V68" s="31" t="str">
        <x:v>None</x:v>
      </x:c>
      <x:c r="W68" s="31" t="str">
        <x:v>Halted after full review because this is a specialized contact-center implementation role rather than applied-AI/software product engineering.</x:v>
      </x:c>
    </x:row>
    <x:row r="69">
      <x:c r="A69" s="28" t="str">
        <x:v>Crowe</x:v>
      </x:c>
      <x:c r="B69" s="28" t="str">
        <x:v>Machine Learning Engineer</x:v>
      </x:c>
      <x:c r="C69" s="28" t="str">
        <x:v>https://www.linkedin.com/jobs/view/4454826250/</x:v>
      </x:c>
      <x:c r="D69" s="28" t="str">
        <x:v>https://www.linkedin.com/jobs/view/4454826250/</x:v>
      </x:c>
      <x:c r="E69" s="29" t="str">
        <x:v>2026-09-06</x:v>
      </x:c>
      <x:c r="F69" s="29" t="str">
        <x:v>2026-09-07</x:v>
      </x:c>
      <x:c r="G69" s="29"/>
      <x:c r="H69" s="29"/>
      <x:c r="I69" s="28" t="str">
        <x:v>Halted</x:v>
      </x:c>
      <x:c r="J69" s="30" t="n">
        <x:v>62000</x:v>
      </x:c>
      <x:c r="K69" s="30" t="n">
        <x:v>100000</x:v>
      </x:c>
      <x:c r="L69" s="28" t="str">
        <x:v>15-2051</x:v>
      </x:c>
      <x:c r="M69" s="28" t="str">
        <x:v>Data Scientists</x:v>
      </x:c>
      <x:c r="N69" s="31" t="str">
        <x:v>New York 15-2051 wage comparison is unnecessary because the posting explicitly excludes sponsorship; the $62,000-$100,000 range also presents material prevailing-wage risk in NYC.</x:v>
      </x:c>
      <x:c r="O69" s="31" t="str">
        <x:v>New York, NY</x:v>
      </x:c>
      <x:c r="P69" s="31"/>
      <x:c r="Q69" s="31" t="str">
        <x:v>Not stated</x:v>
      </x:c>
      <x:c r="R69" s="31" t="str">
        <x:v>Explicitly states Crowe is not sponsoring for work authorization at this time.</x:v>
      </x:c>
      <x:c r="S69" s="31" t="str">
        <x:v>Strong technical fit; sponsorship incompatible</x:v>
      </x:c>
      <x:c r="T69" s="31" t="str">
        <x:v>Excellent overlap with Python, Git, production AI, testing, prompt engineering, RAG, LLMs, and communicating technical details.</x:v>
      </x:c>
      <x:c r="U69" s="31" t="str">
        <x:v>Not used</x:v>
      </x:c>
      <x:c r="V69" s="31" t="str">
        <x:v>None</x:v>
      </x:c>
      <x:c r="W69" s="31" t="str">
        <x:v>Halted despite strong technical alignment because the employer expressly rules out work-authorization sponsorship.</x:v>
      </x:c>
    </x:row>
    <x:row r="70">
      <x:c r="A70" s="28" t="str">
        <x:v>ActAI</x:v>
      </x:c>
      <x:c r="B70" s="28" t="str">
        <x:v>Backend Engineer, AI Internal Systems</x:v>
      </x:c>
      <x:c r="C70" s="28" t="str">
        <x:v>https://www.linkedin.com/jobs/view/4462906582/</x:v>
      </x:c>
      <x:c r="D70" s="28" t="str">
        <x:v>https://jobs.ashbyhq.com/bjakcareer/870de7b5-f623-4a26-b625-86744bba5f24/application</x:v>
      </x:c>
      <x:c r="E70" s="29" t="str">
        <x:v>2026-09-07</x:v>
      </x:c>
      <x:c r="F70" s="29" t="str">
        <x:v>2026-09-07</x:v>
      </x:c>
      <x:c r="G70" s="29" t="str">
        <x:v>2026-09-09</x:v>
      </x:c>
      <x:c r="H70" s="29" t="str">
        <x:v>2026-09-09</x:v>
      </x:c>
      <x:c r="I70" s="28" t="str">
        <x:v>Submitted</x:v>
      </x:c>
      <x:c r="J70" s="30"/>
      <x:c r="K70" s="30"/>
      <x:c r="L70" s="28" t="str">
        <x:v>15-1252</x:v>
      </x:c>
      <x:c r="M70" s="28" t="str">
        <x:v>Software Developers</x:v>
      </x:c>
      <x:c r="N70" s="31" t="str">
        <x:v>Remote U.S.; salary and final worksite are not disclosed, so the employer must establish location-specific prevailing-wage compliance during sponsorship.</x:v>
      </x:c>
      <x:c r="O70" s="31" t="str">
        <x:v>Remote U.S. (Malden, MA if home worksite)</x:v>
      </x:c>
      <x:c r="P70" s="31"/>
      <x:c r="Q70" s="31" t="str">
        <x:v>Remote</x:v>
      </x:c>
      <x:c r="R70" s="31" t="str">
        <x:v>Form explicitly asks whether a work visa is needed and accepts Yes; the same employer has already accepted two prior applications with that answer.</x:v>
      </x:c>
      <x:c r="S70" s="31" t="str">
        <x:v>Excellent</x:v>
      </x:c>
      <x:c r="T70" s="31" t="str">
        <x:v>Direct match to Python, TypeScript/Node, Java, APIs, PostgreSQL, AWS/GCP, Docker, AI integrations, internal tools, workflow automation, production deployment, and end-to-end ownership.</x:v>
      </x:c>
      <x:c r="U70" s="31" t="str">
        <x:v>Yuxuan_Chen_Resume_Giga_Software_Engineer_AI_Agents_20260907.pdf</x:v>
      </x:c>
      <x:c r="V70" s="31" t="str">
        <x:v>None</x:v>
      </x:c>
      <x:c r="W70" s="31" t="str">
        <x:v>Submitted successfully through the official Bjak/Ashby form on 2026-09-09. Official success message confirmed receipt. Answers: visa required; under 3 years; internal tools Yes; Python, TypeScript/Node, Java, cloud and Docker; limited multi-system integration experience.</x:v>
      </x:c>
    </x:row>
    <x:row r="71">
      <x:c r="A71" s="28" t="str">
        <x:v>Garmin</x:v>
      </x:c>
      <x:c r="B71" s="28" t="str">
        <x:v>Software Engineer - Aviation Core Java</x:v>
      </x:c>
      <x:c r="C71" s="28" t="str">
        <x:v>https://www.linkedin.com/jobs/view/4428124529/</x:v>
      </x:c>
      <x:c r="D71" s="28" t="str">
        <x:v>https://careers.garmin.com/jobs/18572?lang=en-us</x:v>
      </x:c>
      <x:c r="E71" s="29" t="str">
        <x:v>2026-09-07 (reposted)</x:v>
      </x:c>
      <x:c r="F71" s="29" t="str">
        <x:v>2026-09-07</x:v>
      </x:c>
      <x:c r="G71" s="29"/>
      <x:c r="H71" s="29"/>
      <x:c r="I71" s="28" t="str">
        <x:v>Halted</x:v>
      </x:c>
      <x:c r="J71" s="30"/>
      <x:c r="K71" s="30"/>
      <x:c r="L71" s="28" t="str">
        <x:v>15-1252</x:v>
      </x:c>
      <x:c r="M71" s="28" t="str">
        <x:v>Software Developers</x:v>
      </x:c>
      <x:c r="N71" s="31" t="str">
        <x:v>Potential locations are the Kansas City area or Chandler/Phoenix. Compensation is not disclosed, so wage-level compatibility cannot be verified before application.</x:v>
      </x:c>
      <x:c r="O71" s="31" t="str">
        <x:v>Kansas City area preferred over Chandler pending exact worksite and compensation</x:v>
      </x:c>
      <x:c r="P71" s="31" t="str">
        <x:v>Chandler / Phoenix, AZ</x:v>
      </x:c>
      <x:c r="Q71" s="31" t="str">
        <x:v>On-site</x:v>
      </x:c>
      <x:c r="R71" s="31" t="str">
        <x:v>Not stated</x:v>
      </x:c>
      <x:c r="S71" s="31" t="str">
        <x:v>Moderate-to-strong</x:v>
      </x:c>
      <x:c r="T71" s="31" t="str">
        <x:v>Strong Java, REST API, cloud, backend, software-tooling, code-review, and one-year experience fit. Aviation-specific tooling and embedded/debugger depth are gaps.</x:v>
      </x:c>
      <x:c r="U71" s="31" t="str">
        <x:v>Not used</x:v>
      </x:c>
      <x:c r="V71" s="31" t="str">
        <x:v>None</x:v>
      </x:c>
      <x:c r="W71" s="31" t="str">
        <x:v>Halted during queue audit. Garmin states a 3.0 cumulative GPA minimum and the candidate’s cumulative undergraduate GPA is 2.89. Salary and sponsorship are also undisclosed, so the role should not remain in the applicant-input queue.</x:v>
      </x:c>
    </x:row>
    <x:row r="72">
      <x:c r="A72" s="28" t="str">
        <x:v>G2 Software Systems (via Jobright.ai)</x:v>
      </x:c>
      <x:c r="B72" s="28" t="str">
        <x:v>Software Developer I, II</x:v>
      </x:c>
      <x:c r="C72" s="28" t="str">
        <x:v>https://www.linkedin.com/jobs/view/4462678958/</x:v>
      </x:c>
      <x:c r="D72" s="28" t="str">
        <x:v>Jobright Direct Hiring Network</x:v>
      </x:c>
      <x:c r="E72" s="29" t="str">
        <x:v>2026-09-07</x:v>
      </x:c>
      <x:c r="F72" s="29" t="str">
        <x:v>2026-09-07</x:v>
      </x:c>
      <x:c r="G72" s="29"/>
      <x:c r="H72" s="29"/>
      <x:c r="I72" s="28" t="str">
        <x:v>Halted</x:v>
      </x:c>
      <x:c r="J72" s="30" t="n">
        <x:v>120000</x:v>
      </x:c>
      <x:c r="K72" s="30" t="n">
        <x:v>150000</x:v>
      </x:c>
      <x:c r="L72" s="28" t="str">
        <x:v>15-1252</x:v>
      </x:c>
      <x:c r="M72" s="28" t="str">
        <x:v>Software Developers</x:v>
      </x:c>
      <x:c r="N72" s="31" t="str">
        <x:v>San Diego Level 1 risk is secondary because the position is legally unavailable to non-U.S.-citizens due to its clearance requirement.</x:v>
      </x:c>
      <x:c r="O72" s="31" t="str">
        <x:v>San Diego, CA</x:v>
      </x:c>
      <x:c r="P72" s="31"/>
      <x:c r="Q72" s="31" t="str">
        <x:v>On-site</x:v>
      </x:c>
      <x:c r="R72" s="31" t="str">
        <x:v>Explicitly requires U.S. citizenship and eligibility to obtain and maintain a DoD clearance.</x:v>
      </x:c>
      <x:c r="S72" s="31" t="str">
        <x:v>Low / legally incompatible</x:v>
      </x:c>
      <x:c r="T72" s="31" t="str">
        <x:v>Also requires 3+ years of Java and JavaScript full-stack experience; the candidate is early-career and not eligible for the citizenship/clearance gate.</x:v>
      </x:c>
      <x:c r="U72" s="31" t="str">
        <x:v>Not used</x:v>
      </x:c>
      <x:c r="V72" s="31" t="str">
        <x:v>None</x:v>
      </x:c>
      <x:c r="W72" s="31" t="str">
        <x:v>Halted immediately after full-description review because U.S. citizenship and DoD-clearance eligibility are mandatory.</x:v>
      </x:c>
    </x:row>
    <x:row r="73">
      <x:c r="A73" s="28" t="str">
        <x:v>Luma AI</x:v>
      </x:c>
      <x:c r="B73" s="28" t="str">
        <x:v>Software Engineer - Product</x:v>
      </x:c>
      <x:c r="C73" s="28" t="str">
        <x:v>https://www.linkedin.com/jobs/view/4445273773/</x:v>
      </x:c>
      <x:c r="D73" s="28" t="str">
        <x:v>https://jobs.ashbyhq.com/lumaai/93802d6a-cdad-49e1-8154-9cf005d7e3b8/application</x:v>
      </x:c>
      <x:c r="E73" s="29" t="str">
        <x:v>2026-09-07 (reposted)</x:v>
      </x:c>
      <x:c r="F73" s="29" t="str">
        <x:v>2026-09-07</x:v>
      </x:c>
      <x:c r="G73" s="29" t="str">
        <x:v>2026-09-09</x:v>
      </x:c>
      <x:c r="H73" s="29" t="str">
        <x:v>2026-09-09</x:v>
      </x:c>
      <x:c r="I73" s="28" t="str">
        <x:v>Submitted</x:v>
      </x:c>
      <x:c r="J73" s="30" t="n">
        <x:v>168000</x:v>
      </x:c>
      <x:c r="K73" s="30" t="n">
        <x:v>252000</x:v>
      </x:c>
      <x:c r="L73" s="28" t="str">
        <x:v>15-1252</x:v>
      </x:c>
      <x:c r="M73" s="28" t="str">
        <x:v>Software Developers</x:v>
      </x:c>
      <x:c r="N73" s="31" t="str">
        <x:v>Redwood City/San Francisco Level 1 is $152,797, Level 2 $187,075, Level 3 $221,374, and Level 4 $255,653. The entire range clears Level 1; amounts from $187,075 clear Level 2 and from $221,374 clear Level 3.</x:v>
      </x:c>
      <x:c r="O73" s="31" t="str">
        <x:v>Redwood City, CA</x:v>
      </x:c>
      <x:c r="P73" s="31"/>
      <x:c r="Q73" s="31" t="str">
        <x:v>Hybrid</x:v>
      </x:c>
      <x:c r="R73" s="31" t="str">
        <x:v>Application does not ask, but public LCA-derived records show recent H-1B filings by Luma AI, including software-engineering positions in Redwood City; past filings do not guarantee this role's sponsorship.</x:v>
      </x:c>
      <x:c r="S73" s="31" t="str">
        <x:v>Excellent stretch</x:v>
      </x:c>
      <x:c r="T73" s="31" t="str">
        <x:v>Specifically targets early-arc engineers and counts internships and substantial projects. Strong overlap with Python, TypeScript, Java, AI coding agents, full-stack shipping, systems thinking, and end-to-end ownership.</x:v>
      </x:c>
      <x:c r="U73" s="31" t="str">
        <x:v>Yuxuan_Chen_Resume_Giga_Software_Engineer_AI_Agents_20260907.pdf</x:v>
      </x:c>
      <x:c r="V73" s="31" t="str">
        <x:v>None</x:v>
      </x:c>
      <x:c r="W73" s="31" t="str">
        <x:v>Submitted successfully through the official Ashby form on 2026-09-09. Official confirmation: Your application was successfully submitted. Relocation selected Yes, source LinkedIn, GitHub supplied, and the candidate-provided voluntary demographic answers were completed.</x:v>
      </x:c>
    </x:row>
    <x:row r="74">
      <x:c r="A74" s="28" t="str">
        <x:v>Rogo</x:v>
      </x:c>
      <x:c r="B74" s="28" t="str">
        <x:v>Software Engineer: Internal Automation</x:v>
      </x:c>
      <x:c r="C74" s="28" t="str">
        <x:v>https://www.linkedin.com/jobs/view/4464042048/</x:v>
      </x:c>
      <x:c r="D74" s="28" t="str">
        <x:v>https://jobs.ashbyhq.com/rogo/cb7ea008-687b-4689-a185-1df249e5e939/application</x:v>
      </x:c>
      <x:c r="E74" s="29" t="str">
        <x:v>2026-09-07</x:v>
      </x:c>
      <x:c r="F74" s="29" t="str">
        <x:v>2026-09-07</x:v>
      </x:c>
      <x:c r="G74" s="29" t="str">
        <x:v>2026-09-09</x:v>
      </x:c>
      <x:c r="H74" s="29" t="str">
        <x:v>2026-09-09</x:v>
      </x:c>
      <x:c r="I74" s="28" t="str">
        <x:v>Submitted</x:v>
      </x:c>
      <x:c r="J74" s="30" t="n">
        <x:v>200000</x:v>
      </x:c>
      <x:c r="K74" s="30" t="n">
        <x:v>275000</x:v>
      </x:c>
      <x:c r="L74" s="28" t="str">
        <x:v>15-1252</x:v>
      </x:c>
      <x:c r="M74" s="28" t="str">
        <x:v>Software Developers</x:v>
      </x:c>
      <x:c r="N74" s="31" t="str">
        <x:v>NYC levels are L1 $109,845, L2 $137,717, L3 $165,589, and L4 $193,461. The entire $200,000-$275,000 range exceeds Level 4.</x:v>
      </x:c>
      <x:c r="O74" s="31" t="str">
        <x:v>New York City</x:v>
      </x:c>
      <x:c r="P74" s="31"/>
      <x:c r="Q74" s="31" t="str">
        <x:v>On-site full time</x:v>
      </x:c>
      <x:c r="R74" s="31" t="str">
        <x:v>Application explicitly says answering Yes to future sponsorship will not preclude consideration. Public LCA-derived records show prior Rogo H-1B filings for AI/full-stack software engineers in New York.</x:v>
      </x:c>
      <x:c r="S74" s="31" t="str">
        <x:v>Excellent stretch</x:v>
      </x:c>
      <x:c r="T74" s="31" t="str">
        <x:v>Exceptional overlap with internal systems, AI agents, RAG, evals, guardrails, production workflows, TypeScript/Python, GCP, SQL, REST APIs, observability, and autonomous end-to-end delivery. Main stretch is 2+ professional years.</x:v>
      </x:c>
      <x:c r="U74" s="31" t="str">
        <x:v>Yuxuan_Chen_Resume_Giga_Software_Engineer_AI_Agents_20260907.pdf</x:v>
      </x:c>
      <x:c r="V74" s="31" t="str">
        <x:v>None</x:v>
      </x:c>
      <x:c r="W74" s="31" t="str">
        <x:v>Submitted successfully through the official Ashby form on 2026-09-09. Official confirmation: Your application was successfully submitted. Office Yes; one year relevant experience excluding degree time; authorized Yes; future sponsorship Yes; role-specific Rogo motivation included.</x:v>
      </x:c>
    </x:row>
    <x:row r="75">
      <x:c r="A75" s="28" t="str">
        <x:v>Redfin / Rocket Companies</x:v>
      </x:c>
      <x:c r="B75" s="28" t="str">
        <x:v>Software Developer I - Search</x:v>
      </x:c>
      <x:c r="C75" s="28" t="str">
        <x:v>https://www.linkedin.com/jobs/view/4452080303/</x:v>
      </x:c>
      <x:c r="D75" s="28" t="str">
        <x:v>https://careers.rocket.com/us/en/job/RCARCAUSR083930EXTERNALENUS/Software-Developer-I-Search</x:v>
      </x:c>
      <x:c r="E75" s="29" t="str">
        <x:v>2026-09-02 (reposted)</x:v>
      </x:c>
      <x:c r="F75" s="29" t="str">
        <x:v>2026-09-07</x:v>
      </x:c>
      <x:c r="G75" s="29"/>
      <x:c r="H75" s="29"/>
      <x:c r="I75" s="28" t="str">
        <x:v>Halted</x:v>
      </x:c>
      <x:c r="J75" s="30" t="n">
        <x:v>107400</x:v>
      </x:c>
      <x:c r="K75" s="30" t="n">
        <x:v>145200</x:v>
      </x:c>
      <x:c r="L75" s="28" t="str">
        <x:v>15-1252</x:v>
      </x:c>
      <x:c r="M75" s="28" t="str">
        <x:v>Software Developers</x:v>
      </x:c>
      <x:c r="N75" s="31" t="str">
        <x:v>The live LinkedIn posting identifies San Francisco, where Level 1 is $152,797. The entire $107,400-$145,200 range is below Level 1, despite Redfin's historical H-1B filings for Software Developer I roles.</x:v>
      </x:c>
      <x:c r="O75" s="31" t="str">
        <x:v>San Francisco, CA</x:v>
      </x:c>
      <x:c r="P75" s="31"/>
      <x:c r="Q75" s="31" t="str">
        <x:v>On-site</x:v>
      </x:c>
      <x:c r="R75" s="31" t="str">
        <x:v>Company has recent H-1B filing history for Software Developer I, but this role's posted salary is independently below the selected worksite's Level 1 benchmark.</x:v>
      </x:c>
      <x:c r="S75" s="31" t="str">
        <x:v>Excellent technical fit; wage incompatible</x:v>
      </x:c>
      <x:c r="T75" s="31" t="str">
        <x:v>Very strong overlap with React, Java, PostgreSQL, customer-facing full-stack applications, data ingestion, automation, and one-plus year of experience.</x:v>
      </x:c>
      <x:c r="U75" s="31" t="str">
        <x:v>Not used</x:v>
      </x:c>
      <x:c r="V75" s="31" t="str">
        <x:v>None</x:v>
      </x:c>
      <x:c r="W75" s="31" t="str">
        <x:v>Halted after full-description, official-link, location, salary, and sponsorship-history review because the full salary range is below San Francisco Level 1.</x:v>
      </x:c>
    </x:row>
    <x:row r="76">
      <x:c r="A76" s="28" t="str">
        <x:v>Chewy</x:v>
      </x:c>
      <x:c r="B76" s="28" t="str">
        <x:v>Software Engineer I (WIZMO)</x:v>
      </x:c>
      <x:c r="C76" s="28" t="str">
        <x:v>Chewy careers search</x:v>
      </x:c>
      <x:c r="D76" s="28" t="str">
        <x:v>https://careers.chewy.com/us/en/job/R30695/Software-Engineer-I</x:v>
      </x:c>
      <x:c r="E76" s="29" t="str">
        <x:v>Listed in current search index</x:v>
      </x:c>
      <x:c r="F76" s="29" t="str">
        <x:v>2026-09-07</x:v>
      </x:c>
      <x:c r="G76" s="29"/>
      <x:c r="H76" s="29"/>
      <x:c r="I76" s="28" t="str">
        <x:v>Halted</x:v>
      </x:c>
      <x:c r="J76" s="30"/>
      <x:c r="K76" s="30"/>
      <x:c r="L76" s="28" t="str">
        <x:v>15-1252</x:v>
      </x:c>
      <x:c r="M76" s="28" t="str">
        <x:v>Software Developers</x:v>
      </x:c>
      <x:c r="N76" s="31" t="str">
        <x:v>Seattle/Boston locations were indicated in the search summary, but no salary comparison is needed because the authoritative job page states the position has been filled.</x:v>
      </x:c>
      <x:c r="O76" s="31" t="str">
        <x:v>Boston, MA preferred</x:v>
      </x:c>
      <x:c r="P76" s="31" t="str">
        <x:v>Seattle, WA</x:v>
      </x:c>
      <x:c r="Q76" s="31" t="str">
        <x:v>Not captured</x:v>
      </x:c>
      <x:c r="R76" s="31" t="str">
        <x:v>Chewy has recent Software Engineer I H-1B filings, but this opening is closed.</x:v>
      </x:c>
      <x:c r="S76" s="31" t="str">
        <x:v>Strong</x:v>
      </x:c>
      <x:c r="T76" s="31" t="str">
        <x:v>Early-career backend and customer-facing services role aligned with Java/Python and full-stack experience.</x:v>
      </x:c>
      <x:c r="U76" s="31" t="str">
        <x:v>Not used</x:v>
      </x:c>
      <x:c r="V76" s="31" t="str">
        <x:v>None</x:v>
      </x:c>
      <x:c r="W76" s="31" t="str">
        <x:v>Halted because the official Chewy page says the job has been filled, despite remaining visible in Chewy's search index.</x:v>
      </x:c>
    </x:row>
    <x:row r="77">
      <x:c r="A77" s="28" t="str">
        <x:v>Chewy</x:v>
      </x:c>
      <x:c r="B77" s="28" t="str">
        <x:v>Software Engineer I (Autoship)</x:v>
      </x:c>
      <x:c r="C77" s="28" t="str">
        <x:v>Chewy careers search</x:v>
      </x:c>
      <x:c r="D77" s="28" t="str">
        <x:v>https://careers.chewy.com/us/en/job/R30757/Software-Engineer-I</x:v>
      </x:c>
      <x:c r="E77" s="29" t="str">
        <x:v>Listed in current search index</x:v>
      </x:c>
      <x:c r="F77" s="29" t="str">
        <x:v>2026-09-07</x:v>
      </x:c>
      <x:c r="G77" s="29"/>
      <x:c r="H77" s="29"/>
      <x:c r="I77" s="28" t="str">
        <x:v>Halted</x:v>
      </x:c>
      <x:c r="J77" s="30"/>
      <x:c r="K77" s="30"/>
      <x:c r="L77" s="28" t="str">
        <x:v>15-1252</x:v>
      </x:c>
      <x:c r="M77" s="28" t="str">
        <x:v>Software Developers</x:v>
      </x:c>
      <x:c r="N77" s="31" t="str">
        <x:v>Boston role, but the authoritative job page states the position has been filled, so wage analysis is moot.</x:v>
      </x:c>
      <x:c r="O77" s="31" t="str">
        <x:v>Boston, MA</x:v>
      </x:c>
      <x:c r="P77" s="31"/>
      <x:c r="Q77" s="31" t="str">
        <x:v>Not captured</x:v>
      </x:c>
      <x:c r="R77" s="31" t="str">
        <x:v>Chewy has recent Software Engineer I H-1B filings, but this opening is closed.</x:v>
      </x:c>
      <x:c r="S77" s="31" t="str">
        <x:v>Strong</x:v>
      </x:c>
      <x:c r="T77" s="31" t="str">
        <x:v>Modern JavaScript, frontend/backend development, distributed services, and early-career scope are realistic matches.</x:v>
      </x:c>
      <x:c r="U77" s="31" t="str">
        <x:v>Not used</x:v>
      </x:c>
      <x:c r="V77" s="31" t="str">
        <x:v>None</x:v>
      </x:c>
      <x:c r="W77" s="31" t="str">
        <x:v>Halted because the official Chewy page says the job has been filled.</x:v>
      </x:c>
    </x:row>
    <x:row r="78">
      <x:c r="A78" s="28" t="str">
        <x:v>Chewy</x:v>
      </x:c>
      <x:c r="B78" s="28" t="str">
        <x:v>Backend Software Engineer I</x:v>
      </x:c>
      <x:c r="C78" s="28" t="str">
        <x:v>Chewy careers search</x:v>
      </x:c>
      <x:c r="D78" s="28" t="str">
        <x:v>https://careers.chewy.com/us/en/job/R30760/Backend-Software-Engineer-I</x:v>
      </x:c>
      <x:c r="E78" s="29" t="str">
        <x:v>Listed in current search index</x:v>
      </x:c>
      <x:c r="F78" s="29" t="str">
        <x:v>2026-09-07</x:v>
      </x:c>
      <x:c r="G78" s="29"/>
      <x:c r="H78" s="29"/>
      <x:c r="I78" s="28" t="str">
        <x:v>Halted</x:v>
      </x:c>
      <x:c r="J78" s="30"/>
      <x:c r="K78" s="30"/>
      <x:c r="L78" s="28" t="str">
        <x:v>15-1252</x:v>
      </x:c>
      <x:c r="M78" s="28" t="str">
        <x:v>Software Developers</x:v>
      </x:c>
      <x:c r="N78" s="31" t="str">
        <x:v>Boston role, but the authoritative job page states the position has been filled, so wage analysis is moot.</x:v>
      </x:c>
      <x:c r="O78" s="31" t="str">
        <x:v>Boston, MA</x:v>
      </x:c>
      <x:c r="P78" s="31"/>
      <x:c r="Q78" s="31" t="str">
        <x:v>Not captured</x:v>
      </x:c>
      <x:c r="R78" s="31" t="str">
        <x:v>Chewy has recent Software Engineer I H-1B filings, but this opening is closed.</x:v>
      </x:c>
      <x:c r="S78" s="31" t="str">
        <x:v>Excellent</x:v>
      </x:c>
      <x:c r="T78" s="31" t="str">
        <x:v>Strong direct fit to Java, Python, AWS, automation, developer productivity, and foundational backend engineering.</x:v>
      </x:c>
      <x:c r="U78" s="31" t="str">
        <x:v>Not used</x:v>
      </x:c>
      <x:c r="V78" s="31" t="str">
        <x:v>None</x:v>
      </x:c>
      <x:c r="W78" s="31" t="str">
        <x:v>Halted because the official Chewy page says the job has been filled.</x:v>
      </x:c>
    </x:row>
    <x:row r="79">
      <x:c r="A79" s="28" t="str">
        <x:v>Wayfair</x:v>
      </x:c>
      <x:c r="B79" s="28" t="str">
        <x:v>Software Engineer I</x:v>
      </x:c>
      <x:c r="C79" s="28" t="str">
        <x:v>https://www.linkedin.com/jobs/view/4455389694/</x:v>
      </x:c>
      <x:c r="D79" s="28" t="str">
        <x:v>LinkedIn external apply</x:v>
      </x:c>
      <x:c r="E79" s="29" t="str">
        <x:v>2026-09-07</x:v>
      </x:c>
      <x:c r="F79" s="29" t="str">
        <x:v>2026-09-07</x:v>
      </x:c>
      <x:c r="G79" s="29"/>
      <x:c r="H79" s="29"/>
      <x:c r="I79" s="28" t="str">
        <x:v>Halted</x:v>
      </x:c>
      <x:c r="J79" s="30" t="n">
        <x:v>120000</x:v>
      </x:c>
      <x:c r="K79" s="30" t="n">
        <x:v>130000</x:v>
      </x:c>
      <x:c r="L79" s="28" t="str">
        <x:v>15-1252</x:v>
      </x:c>
      <x:c r="M79" s="28" t="str">
        <x:v>Software Developers</x:v>
      </x:c>
      <x:c r="N79" s="31" t="str">
        <x:v>Boston Level 1 is $114,275 and Level 2 is $138,237. The full range clears Level 1 but remains below Level 2.</x:v>
      </x:c>
      <x:c r="O79" s="31" t="str">
        <x:v>Boston, MA</x:v>
      </x:c>
      <x:c r="P79" s="31"/>
      <x:c r="Q79" s="31" t="str">
        <x:v>Hybrid, 3 days/week onsite</x:v>
      </x:c>
      <x:c r="R79" s="31" t="str">
        <x:v>Not stated</x:v>
      </x:c>
      <x:c r="S79" s="31" t="str">
        <x:v>Potential technical fit; timing incompatible</x:v>
      </x:c>
      <x:c r="T79" s="31" t="str">
        <x:v>Software Engineer I scope is suitable, but the fixed October 26, 2026 start date precedes the candidate's December 2026 graduation.</x:v>
      </x:c>
      <x:c r="U79" s="31" t="str">
        <x:v>Not used</x:v>
      </x:c>
      <x:c r="V79" s="31" t="str">
        <x:v>None</x:v>
      </x:c>
      <x:c r="W79" s="31" t="str">
        <x:v>Halted because the stated start date conflicts with the current degree completion timeline.</x:v>
      </x:c>
    </x:row>
    <x:row r="80">
      <x:c r="A80" s="28" t="str">
        <x:v>Zello</x:v>
      </x:c>
      <x:c r="B80" s="28" t="str">
        <x:v>Software Engineer I - AI Generalist</x:v>
      </x:c>
      <x:c r="C80" s="28" t="str">
        <x:v>Not captured</x:v>
      </x:c>
      <x:c r="D80" s="28" t="str">
        <x:v>https://jobs.ashbyhq.com/Zello/66de7a50-17cb-42aa-87eb-cd40c637338e/application</x:v>
      </x:c>
      <x:c r="E80" s="29" t="str">
        <x:v>Previously indexed; exact date unavailable</x:v>
      </x:c>
      <x:c r="F80" s="29" t="str">
        <x:v>2026-09-07</x:v>
      </x:c>
      <x:c r="G80" s="29"/>
      <x:c r="H80" s="29"/>
      <x:c r="I80" s="28" t="str">
        <x:v>Halted</x:v>
      </x:c>
      <x:c r="J80" s="30"/>
      <x:c r="K80" s="30"/>
      <x:c r="L80" s="28" t="str">
        <x:v>15-1252</x:v>
      </x:c>
      <x:c r="M80" s="28" t="str">
        <x:v>Software Developers</x:v>
      </x:c>
      <x:c r="N80" s="31" t="str">
        <x:v>Austin salary was not disclosed; the live official application page now returns Job not found.</x:v>
      </x:c>
      <x:c r="O80" s="31" t="str">
        <x:v>Austin, TX</x:v>
      </x:c>
      <x:c r="P80" s="31"/>
      <x:c r="Q80" s="31" t="str">
        <x:v>Hybrid</x:v>
      </x:c>
      <x:c r="R80" s="31" t="str">
        <x:v>Not stated</x:v>
      </x:c>
      <x:c r="S80" s="31" t="str">
        <x:v>Excellent</x:v>
      </x:c>
      <x:c r="T80" s="31" t="str">
        <x:v>Exceptionally aligned with 0-3 years, Python/TypeScript/Java, AI coding tools, Playwright-style automation, testing, internal tooling, and rotating across web/backend squads.</x:v>
      </x:c>
      <x:c r="U80" s="31" t="str">
        <x:v>Not used</x:v>
      </x:c>
      <x:c r="V80" s="31" t="str">
        <x:v>None</x:v>
      </x:c>
      <x:c r="W80" s="31" t="str">
        <x:v>Halted only because the authoritative Ashby page now says Job not found.</x:v>
      </x:c>
    </x:row>
    <x:row r="81">
      <x:c r="A81" s="28" t="str">
        <x:v>Pipe17</x:v>
      </x:c>
      <x:c r="B81" s="28" t="str">
        <x:v>Junior Software Engineer, AI-Native</x:v>
      </x:c>
      <x:c r="C81" s="28" t="str">
        <x:v>Not captured</x:v>
      </x:c>
      <x:c r="D81" s="28" t="str">
        <x:v>https://job-boards.greenhouse.io/pipe17/jobs/4717950005</x:v>
      </x:c>
      <x:c r="E81" s="29" t="str">
        <x:v>Within the last month</x:v>
      </x:c>
      <x:c r="F81" s="29" t="str">
        <x:v>2026-09-07</x:v>
      </x:c>
      <x:c r="G81" s="29"/>
      <x:c r="H81" s="29"/>
      <x:c r="I81" s="28" t="str">
        <x:v>Halted</x:v>
      </x:c>
      <x:c r="J81" s="30"/>
      <x:c r="K81" s="30"/>
      <x:c r="L81" s="28" t="str">
        <x:v>15-1252</x:v>
      </x:c>
      <x:c r="M81" s="28" t="str">
        <x:v>Software Developers</x:v>
      </x:c>
      <x:c r="N81" s="31" t="str">
        <x:v>Seattle compensation is described only as competitive entry-level salary, so prevailing-wage compatibility cannot be verified.</x:v>
      </x:c>
      <x:c r="O81" s="31" t="str">
        <x:v>Seattle, WA</x:v>
      </x:c>
      <x:c r="P81" s="31"/>
      <x:c r="Q81" s="31" t="str">
        <x:v>On-site only</x:v>
      </x:c>
      <x:c r="R81" s="31" t="str">
        <x:v>No sponsorship statement in this junior posting; another current Pipe17 engineering posting explicitly says no sponsorship, creating a strong company-policy risk.</x:v>
      </x:c>
      <x:c r="S81" s="31" t="str">
        <x:v>Excellent technical fit; location/sponsorship incompatible</x:v>
      </x:c>
      <x:c r="T81" s="31" t="str">
        <x:v>Direct overlap with AI-native development, internal tools, customer features, agents, Python, Docker, SQL, LLM workflows, and production ownership.</x:v>
      </x:c>
      <x:c r="U81" s="31" t="str">
        <x:v>Not used</x:v>
      </x:c>
      <x:c r="V81" s="31" t="str">
        <x:v>None</x:v>
      </x:c>
      <x:c r="W81" s="31" t="str">
        <x:v>Halted because the current form is Seattle-only and asks whether the applicant already lives in the Seattle metro area; the candidate lives in Malden, MA. It also requires two long first-person essays that cannot be truthfully inferred without candidate input.</x:v>
      </x:c>
    </x:row>
    <x:row r="82">
      <x:c r="A82" s="28" t="str">
        <x:v>Appian</x:v>
      </x:c>
      <x:c r="B82" s="28" t="str">
        <x:v>Software Engineer (2027 Graduates)</x:v>
      </x:c>
      <x:c r="C82" s="28" t="str">
        <x:v>Not captured</x:v>
      </x:c>
      <x:c r="D82" s="28" t="str">
        <x:v>https://careers.appian.com/jobs/8041241-software-engineer--2027-graduates-</x:v>
      </x:c>
      <x:c r="E82" s="29" t="str">
        <x:v>2026-08-13</x:v>
      </x:c>
      <x:c r="F82" s="29" t="str">
        <x:v>2026-09-07</x:v>
      </x:c>
      <x:c r="G82" s="29"/>
      <x:c r="H82" s="29"/>
      <x:c r="I82" s="28" t="str">
        <x:v>Halted</x:v>
      </x:c>
      <x:c r="J82" s="30"/>
      <x:c r="K82" s="30"/>
      <x:c r="L82" s="28" t="str">
        <x:v>15-1252</x:v>
      </x:c>
      <x:c r="M82" s="28" t="str">
        <x:v>Software Developers</x:v>
      </x:c>
      <x:c r="N82" s="31" t="str">
        <x:v>McLean, VA compensation was not available before the posting was removed; wage compatibility cannot be established.</x:v>
      </x:c>
      <x:c r="O82" s="31" t="str">
        <x:v>McLean, VA</x:v>
      </x:c>
      <x:c r="P82" s="31"/>
      <x:c r="Q82" s="31" t="str">
        <x:v>On-site, 5 days/week</x:v>
      </x:c>
      <x:c r="R82" s="31" t="str">
        <x:v>Official description was silent; an independent 2027 new-grad listing flagged no sponsorship, but the authoritative page is now unavailable.</x:v>
      </x:c>
      <x:c r="S82" s="31" t="str">
        <x:v>Strong</x:v>
      </x:c>
      <x:c r="T82" s="31" t="str">
        <x:v>Designed for 2027 graduates and values algorithms, object-oriented design, AI tooling, full-stack enterprise software, internships, research, and capstone projects.</x:v>
      </x:c>
      <x:c r="U82" s="31" t="str">
        <x:v>Not used</x:v>
      </x:c>
      <x:c r="V82" s="31" t="str">
        <x:v>None</x:v>
      </x:c>
      <x:c r="W82" s="31" t="str">
        <x:v>Halted because the official Appian page currently returns 404 Job Posting Not Found, independently of the sponsorship uncertainty.</x:v>
      </x:c>
    </x:row>
    <x:row r="83">
      <x:c r="A83" s="28" t="str">
        <x:v>Mastercard</x:v>
      </x:c>
      <x:c r="B83" s="28" t="str">
        <x:v>Software Engineer, Launch Program 2027 - United States</x:v>
      </x:c>
      <x:c r="C83" s="28" t="str">
        <x:v>Not captured</x:v>
      </x:c>
      <x:c r="D83" s="28" t="str">
        <x:v>https://mastercard.wd1.myworkdayjobs.com/en-US/Campus/job/Software-Engineer--Launch-Program-2027---United-States_R-288578-1</x:v>
      </x:c>
      <x:c r="E83" s="29" t="str">
        <x:v>Approximately 6 days before discovery</x:v>
      </x:c>
      <x:c r="F83" s="29" t="str">
        <x:v>2026-09-07</x:v>
      </x:c>
      <x:c r="G83" s="29"/>
      <x:c r="H83" s="29"/>
      <x:c r="I83" s="28" t="str">
        <x:v>Halted</x:v>
      </x:c>
      <x:c r="J83" s="30" t="n">
        <x:v>100000</x:v>
      </x:c>
      <x:c r="K83" s="30" t="n">
        <x:v>130000</x:v>
      </x:c>
      <x:c r="L83" s="28" t="str">
        <x:v>15-1252</x:v>
      </x:c>
      <x:c r="M83" s="28" t="str">
        <x:v>Software Developers</x:v>
      </x:c>
      <x:c r="N83" s="31" t="str">
        <x:v>National range of $100,000-$130,000 varies by selected worksite; no location should be selected because the posting expressly disqualifies applicants requiring current or future sponsorship.</x:v>
      </x:c>
      <x:c r="O83" s="31" t="str">
        <x:v>None</x:v>
      </x:c>
      <x:c r="P83" s="31" t="str">
        <x:v>O'Fallon, MO; Arlington, VA; Salt Lake City, UT; Atlanta, GA; New York, NY</x:v>
      </x:c>
      <x:c r="Q83" s="31" t="str">
        <x:v>Location-based</x:v>
      </x:c>
      <x:c r="R83" s="31" t="str">
        <x:v>Explicitly not eligible for employment sponsorship; F-1, CPT, and OPT candidates are also stated as ineligible.</x:v>
      </x:c>
      <x:c r="S83" s="31" t="str">
        <x:v>Strong technical fit; work-authorization incompatible</x:v>
      </x:c>
      <x:c r="T83" s="31" t="str">
        <x:v>The 2027 graduate program matches the candidate's degree timing and general software engineering profile, but its categorical work-authorization restriction is disqualifying.</x:v>
      </x:c>
      <x:c r="U83" s="31" t="str">
        <x:v>Not used</x:v>
      </x:c>
      <x:c r="V83" s="31" t="str">
        <x:v>None</x:v>
      </x:c>
      <x:c r="W83" s="31" t="str">
        <x:v>Halted immediately after authoritative description review because the visa policy conflicts with the candidate's stated sponsorship requirement.</x:v>
      </x:c>
    </x:row>
    <x:row r="84">
      <x:c r="A84" s="28" t="str">
        <x:v>Netic</x:v>
      </x:c>
      <x:c r="B84" s="28" t="str">
        <x:v>Software Engineer (Agent Platform), New Grad 2026-2027</x:v>
      </x:c>
      <x:c r="C84" s="28" t="str">
        <x:v>Not captured</x:v>
      </x:c>
      <x:c r="D84" s="28" t="str">
        <x:v>https://jobs.ashbyhq.com/netic/d9bcb6a2-0e54-4cb3-baec-43f2d74db18f/application</x:v>
      </x:c>
      <x:c r="E84" s="29" t="str">
        <x:v>Current opening; exact date not captured</x:v>
      </x:c>
      <x:c r="F84" s="29" t="str">
        <x:v>2026-09-07</x:v>
      </x:c>
      <x:c r="G84" s="29"/>
      <x:c r="H84" s="29"/>
      <x:c r="I84" s="28" t="str">
        <x:v>Needs input</x:v>
      </x:c>
      <x:c r="J84" s="30"/>
      <x:c r="K84" s="30"/>
      <x:c r="L84" s="28" t="str">
        <x:v>15-1252</x:v>
      </x:c>
      <x:c r="M84" s="28" t="str">
        <x:v>Software Developers</x:v>
      </x:c>
      <x:c r="N84" s="31" t="str">
        <x:v>San Francisco Level 1 is $152,797, Level 2 $187,075, Level 3 $221,374, and Level 4 $255,653. Salary is not disclosed, so compatibility must be verified if compensation is provided later.</x:v>
      </x:c>
      <x:c r="O84" s="31" t="str">
        <x:v>San Francisco, CA</x:v>
      </x:c>
      <x:c r="P84" s="31"/>
      <x:c r="Q84" s="31" t="str">
        <x:v>On-site, 5 days/week</x:v>
      </x:c>
      <x:c r="R84" s="31" t="str">
        <x:v>The application states that immigration and sponsorship support may be provided based on individual circumstances.</x:v>
      </x:c>
      <x:c r="S84" s="31" t="str">
        <x:v>Excellent</x:v>
      </x:c>
      <x:c r="T84" s="31" t="str">
        <x:v>Exceptionally close match to Python asyncio/FastAPI, TypeScript/Node/React, LLM APIs, RAG, agents, evaluations, distributed systems, and new-grad timing; production experience is not required.</x:v>
      </x:c>
      <x:c r="U84" s="31" t="str">
        <x:v>Yuxuan Chen Resume.pdf planned</x:v>
      </x:c>
      <x:c r="V84" s="31" t="str">
        <x:v>Required personal-response question: the most interesting paper, blog post, or documentation read in the past month.</x:v>
      </x:c>
      <x:c r="W84" s="31" t="str">
        <x:v>Form preflight completed. Start-date, experience, office-attendance, and sponsorship fields are answerable from known facts; the required recent-reading response cannot be truthfully inferred or fabricated.</x:v>
      </x:c>
    </x:row>
    <x:row r="85">
      <x:c r="A85" s="28" t="str">
        <x:v>TikTok</x:v>
      </x:c>
      <x:c r="B85" s="28" t="str">
        <x:v>Software Engineer Graduate, Recommendation Architecture / Feeds Infrastructure (2027 Start)</x:v>
      </x:c>
      <x:c r="C85" s="28" t="str">
        <x:v>Not captured</x:v>
      </x:c>
      <x:c r="D85" s="28" t="str">
        <x:v>https://lifeattiktok.com/search/7672530785573980421</x:v>
      </x:c>
      <x:c r="E85" s="29" t="str">
        <x:v>Current 2027 graduate opening</x:v>
      </x:c>
      <x:c r="F85" s="29" t="str">
        <x:v>2026-09-07</x:v>
      </x:c>
      <x:c r="G85" s="29"/>
      <x:c r="H85" s="29"/>
      <x:c r="I85" s="28" t="str">
        <x:v>Halted</x:v>
      </x:c>
      <x:c r="J85" s="30" t="n">
        <x:v>121600</x:v>
      </x:c>
      <x:c r="K85" s="30" t="n">
        <x:v>243200</x:v>
      </x:c>
      <x:c r="L85" s="28" t="str">
        <x:v>15-1252</x:v>
      </x:c>
      <x:c r="M85" s="28" t="str">
        <x:v>Software Developers</x:v>
      </x:c>
      <x:c r="N85" s="31" t="str">
        <x:v>Seattle-Tacoma-Bellevue Level 1 is $111,613, Level 2 $143,104, Level 3 $174,595, and Level 4 $206,086. The entire posted range clears Level 1; amounts from $143,104 clear Level 2, from $174,595 clear Level 3, and from $206,086 clear Level 4.</x:v>
      </x:c>
      <x:c r="O85" s="31" t="str">
        <x:v>Seattle, WA</x:v>
      </x:c>
      <x:c r="P85" s="31"/>
      <x:c r="Q85" s="31" t="str">
        <x:v>Location-based</x:v>
      </x:c>
      <x:c r="R85" s="31" t="str">
        <x:v>Not yet verified in the authoritative posting.</x:v>
      </x:c>
      <x:c r="S85" s="31" t="str">
        <x:v>Strong</x:v>
      </x:c>
      <x:c r="T85" s="31" t="str">
        <x:v>2027 timing and Java background fit; recommendation infrastructure, ranking, real-time training, and distributed data systems are relevant but less exact than the candidate's full-stack LLM-platform profile.</x:v>
      </x:c>
      <x:c r="U85" s="31" t="str">
        <x:v>Not used</x:v>
      </x:c>
      <x:c r="V85" s="31" t="str">
        <x:v>None at discovery stage</x:v>
      </x:c>
      <x:c r="W85" s="31" t="str">
        <x:v>Not selected for TikTok's two-application limit after comparison: the AI Search &amp; Visual Search Infrastructure role is a materially closer match to the candidate's RAG, vLLM, agent, retrieval, evaluation, and systems experience.</x:v>
      </x:c>
    </x:row>
    <x:row r="86">
      <x:c r="A86" s="28" t="str">
        <x:v>TikTok</x:v>
      </x:c>
      <x:c r="B86" s="28" t="str">
        <x:v>Software Engineer Graduate (TikTok AI Search &amp; Visual Search Infra Team) - 2027 Start</x:v>
      </x:c>
      <x:c r="C86" s="28" t="str">
        <x:v>Not captured</x:v>
      </x:c>
      <x:c r="D86" s="28" t="str">
        <x:v>https://careers.tiktok.com/resume/7672517471946000645/apply</x:v>
      </x:c>
      <x:c r="E86" s="29" t="str">
        <x:v>Current 2027 graduate opening</x:v>
      </x:c>
      <x:c r="F86" s="29" t="str">
        <x:v>2026-09-07</x:v>
      </x:c>
      <x:c r="G86" s="29"/>
      <x:c r="H86" s="29"/>
      <x:c r="I86" s="28" t="str">
        <x:v>Needs input</x:v>
      </x:c>
      <x:c r="J86" s="30" t="n">
        <x:v>128000</x:v>
      </x:c>
      <x:c r="K86" s="30" t="n">
        <x:v>316800</x:v>
      </x:c>
      <x:c r="L86" s="28" t="str">
        <x:v>15-1252</x:v>
      </x:c>
      <x:c r="M86" s="28" t="str">
        <x:v>Software Developers</x:v>
      </x:c>
      <x:c r="N86" s="31" t="str">
        <x:v>San Jose Level 1 is $152,797, Level 2 $187,075, Level 3 $221,374, and Level 4 $255,653. The posted minimum is below Level 1, but compensation from $152,797 upward clears Level 1 and the upper range clears all four levels.</x:v>
      </x:c>
      <x:c r="O86" s="31" t="str">
        <x:v>San Jose, CA</x:v>
      </x:c>
      <x:c r="P86" s="31"/>
      <x:c r="Q86" s="31" t="str">
        <x:v>Location-based</x:v>
      </x:c>
      <x:c r="R86" s="31" t="str">
        <x:v>The authoritative description requires ability to establish U.S. work authorization but does not state whether future sponsorship is offered; company sponsorship history should be considered but does not guarantee this requisition.</x:v>
      </x:c>
      <x:c r="S86" s="31" t="str">
        <x:v>Exceptional</x:v>
      </x:c>
      <x:c r="T86" s="31" t="str">
        <x:v>Direct match to RAG, multi-agent orchestration, tool calling, context and memory, vLLM, LLM inference, retrieval/indexing, data pipelines, evaluation, latency and throughput optimization, Python/Java, research, and internship experience.</x:v>
      </x:c>
      <x:c r="U86" s="31" t="str">
        <x:v>Yuxuan Chen Resume.pdf planned</x:v>
      </x:c>
      <x:c r="V86" s="31" t="str">
        <x:v>TikTok Careers account sign-in must be completed manually without sharing or storing the password.</x:v>
      </x:c>
      <x:c r="W86" s="31" t="str">
        <x:v>Selected as the first-priority TikTok application under the global two-position limit. Rechecked on 2026-09-09; TikTok Careers remains signed out and requires the candidate's password or manual sign-in before the form can be accessed.</x:v>
      </x:c>
    </x:row>
    <x:row r="87">
      <x:c r="A87" s="28" t="str">
        <x:v>TikTok</x:v>
      </x:c>
      <x:c r="B87" s="28" t="str">
        <x:v>Software Engineer Graduate (Foundation Platform) - 2027 Start</x:v>
      </x:c>
      <x:c r="C87" s="28" t="str">
        <x:v>Not captured</x:v>
      </x:c>
      <x:c r="D87" s="28" t="str">
        <x:v>https://lifeattiktok.com/search/7673674252889246005</x:v>
      </x:c>
      <x:c r="E87" s="29" t="str">
        <x:v>Current 2027 graduate opening</x:v>
      </x:c>
      <x:c r="F87" s="29" t="str">
        <x:v>2026-09-07</x:v>
      </x:c>
      <x:c r="G87" s="29"/>
      <x:c r="H87" s="29"/>
      <x:c r="I87" s="28" t="str">
        <x:v>Halted</x:v>
      </x:c>
      <x:c r="J87" s="30" t="n">
        <x:v>128000</x:v>
      </x:c>
      <x:c r="K87" s="30" t="n">
        <x:v>316800</x:v>
      </x:c>
      <x:c r="L87" s="28" t="str">
        <x:v>15-1252</x:v>
      </x:c>
      <x:c r="M87" s="28" t="str">
        <x:v>Software Developers</x:v>
      </x:c>
      <x:c r="N87" s="31" t="str">
        <x:v>San Jose Level 1 is $152,797, Level 2 $187,075, Level 3 $221,374, and Level 4 $255,653. The minimum is below Level 1; the majority of the range above $152,797 is Level-1 compatible, and the maximum exceeds Level 4.</x:v>
      </x:c>
      <x:c r="O87" s="31" t="str">
        <x:v>San Jose, CA</x:v>
      </x:c>
      <x:c r="P87" s="31"/>
      <x:c r="Q87" s="31" t="str">
        <x:v>Location-based</x:v>
      </x:c>
      <x:c r="R87" s="31" t="str">
        <x:v>Not stated in the authoritative description; must be answered truthfully on the application as sponsorship required.</x:v>
      </x:c>
      <x:c r="S87" s="31" t="str">
        <x:v>Excellent and realistic</x:v>
      </x:c>
      <x:c r="T87" s="31" t="str">
        <x:v>Master's new-grad role with broad Python/Java eligibility and explicit acceptance of internship, work, competition, or publication experience. This is a safer general-SWE match than highly specialized model-training roles.</x:v>
      </x:c>
      <x:c r="U87" s="31" t="str">
        <x:v>Yuxuan Chen Resume.pdf planned</x:v>
      </x:c>
      <x:c r="V87" s="31" t="str">
        <x:v>None</x:v>
      </x:c>
      <x:c r="W87" s="31" t="str">
        <x:v>Removed from the two-position priority set before submission because the newly reposted AI Agent &amp; Global Revenue Platform graduate role is a materially closer match to the candidate's verified agent-system experience.</x:v>
      </x:c>
    </x:row>
    <x:row r="88">
      <x:c r="A88" s="28" t="str">
        <x:v>TikTok</x:v>
      </x:c>
      <x:c r="B88" s="28" t="str">
        <x:v>Machine Learning Engineer Graduate (Commercial AI-CRM and Transaction) - 2027 Start</x:v>
      </x:c>
      <x:c r="C88" s="28" t="str">
        <x:v>Not captured</x:v>
      </x:c>
      <x:c r="D88" s="28" t="str">
        <x:v>https://lifeattiktok.com/search/7669702699627661573</x:v>
      </x:c>
      <x:c r="E88" s="29" t="str">
        <x:v>Current 2027 graduate opening</x:v>
      </x:c>
      <x:c r="F88" s="29" t="str">
        <x:v>2026-09-07</x:v>
      </x:c>
      <x:c r="G88" s="29"/>
      <x:c r="H88" s="29"/>
      <x:c r="I88" s="28" t="str">
        <x:v>Halted</x:v>
      </x:c>
      <x:c r="J88" s="30" t="n">
        <x:v>128000</x:v>
      </x:c>
      <x:c r="K88" s="30" t="n">
        <x:v>256000</x:v>
      </x:c>
      <x:c r="L88" s="28" t="str">
        <x:v>15-2051</x:v>
      </x:c>
      <x:c r="M88" s="28" t="str">
        <x:v>Data Scientists</x:v>
      </x:c>
      <x:c r="N88" s="31" t="str">
        <x:v>San Jose compensation spans $128,000-$256,000. Role classification may be 15-2051 rather than 15-1252; a final prevailing-wage comparison would require the employer's selected SOC. The opening was not chosen under TikTok's two-position cap.</x:v>
      </x:c>
      <x:c r="O88" s="31" t="str">
        <x:v>San Jose, CA</x:v>
      </x:c>
      <x:c r="P88" s="31"/>
      <x:c r="Q88" s="31" t="str">
        <x:v>Location-based</x:v>
      </x:c>
      <x:c r="R88" s="31" t="str">
        <x:v>Not stated in the authoritative description.</x:v>
      </x:c>
      <x:c r="S88" s="31" t="str">
        <x:v>Strong but specialized</x:v>
      </x:c>
      <x:c r="T88" s="31" t="str">
        <x:v>Excellent thematic match to LLM agents, context, memory, Python, and enterprise workflows, but the minimum qualifications demand deep SFT/RLHF grounding and hands-on mainstream agent-framework experience not explicit in the resume.</x:v>
      </x:c>
      <x:c r="U88" s="31" t="str">
        <x:v>Not used</x:v>
      </x:c>
      <x:c r="V88" s="31" t="str">
        <x:v>None</x:v>
      </x:c>
      <x:c r="W88" s="31" t="str">
        <x:v>Not selected for the two-application limit because AI Search is a stronger exact match and Foundation Platform is a more realistic broad-SWE option.</x:v>
      </x:c>
    </x:row>
    <x:row r="89">
      <x:c r="A89" s="28" t="str">
        <x:v>Google</x:v>
      </x:c>
      <x:c r="B89" s="28" t="str">
        <x:v>Software Engineer, Early Career, Campus - United States</x:v>
      </x:c>
      <x:c r="C89" s="28" t="str">
        <x:v>Not captured</x:v>
      </x:c>
      <x:c r="D89" s="28" t="str">
        <x:v>https://www.google.com/about/careers/applications/jobs/results/78703249065943750-software-engineer-early-career-campus</x:v>
      </x:c>
      <x:c r="E89" s="29" t="str">
        <x:v>Current; application window open until at least 2026-09-30</x:v>
      </x:c>
      <x:c r="F89" s="29" t="str">
        <x:v>2026-09-07</x:v>
      </x:c>
      <x:c r="G89" s="29" t="str">
        <x:v>2026-08-16</x:v>
      </x:c>
      <x:c r="H89" s="29" t="str">
        <x:v>2026-08-16</x:v>
      </x:c>
      <x:c r="I89" s="28" t="str">
        <x:v>Submitted</x:v>
      </x:c>
      <x:c r="J89" s="30" t="n">
        <x:v>123000</x:v>
      </x:c>
      <x:c r="K89" s="30" t="n">
        <x:v>174000</x:v>
      </x:c>
      <x:c r="L89" s="28" t="str">
        <x:v>15-1252</x:v>
      </x:c>
      <x:c r="M89" s="28" t="str">
        <x:v>Software Developers</x:v>
      </x:c>
      <x:c r="N89" s="31" t="str">
        <x:v>Cambridge/Boston Level 1 is $114,275, Level 2 $138,237, Level 3 $162,198, and Level 4 $186,160. The entire range clears Level 1; compensation from $138,237 clears Level 2 and from $162,198 clears Level 3, while the maximum remains below Level 4.</x:v>
      </x:c>
      <x:c r="O89" s="31" t="str">
        <x:v>Cambridge, MA</x:v>
      </x:c>
      <x:c r="P89" s="31" t="str">
        <x:v>San Jose, CA; Seattle, WA; New York, NY; Los Angeles, CA; Pittsburgh, PA; Sunnyvale, CA</x:v>
      </x:c>
      <x:c r="Q89" s="31" t="str">
        <x:v>Location-based; in-person interviews normally required</x:v>
      </x:c>
      <x:c r="R89" s="31" t="str">
        <x:v>Application record answers Yes to current legal work eligibility and Yes to current or future Google sponsorship requirement.</x:v>
      </x:c>
      <x:c r="S89" s="31" t="str">
        <x:v>Exceptional</x:v>
      </x:c>
      <x:c r="T89" s="31" t="str">
        <x:v>Direct match to Python/Java/TypeScript, algorithms, AI productivity tools, web development, distributed systems, ML, information retrieval, NLP, research, and a related master's degree.</x:v>
      </x:c>
      <x:c r="U89" s="31" t="str">
        <x:v>Yuxuan Chen Resume.pdf</x:v>
      </x:c>
      <x:c r="V89" s="31" t="str">
        <x:v>None</x:v>
      </x:c>
      <x:c r="W89" s="31" t="str">
        <x:v>Google Careers portal authoritatively shows this application was submitted on August 16 and cannot be resubmitted for 90 days. Existing profile includes the candidate's resume, education, contact information, preferred locations, qualifications, and truthful sponsorship answers.</x:v>
      </x:c>
    </x:row>
    <x:row r="90">
      <x:c r="A90" s="28" t="str">
        <x:v>Charta Health</x:v>
      </x:c>
      <x:c r="B90" s="28" t="str">
        <x:v>Software Engineer, New Grad</x:v>
      </x:c>
      <x:c r="C90" s="28" t="str">
        <x:v>Not captured</x:v>
      </x:c>
      <x:c r="D90" s="28" t="str">
        <x:v>https://jobs.ashbyhq.com/chartahealth/9403a4cc-1bac-4798-9d82-be31ba8b42a0/</x:v>
      </x:c>
      <x:c r="E90" s="29" t="str">
        <x:v>Recently indexed</x:v>
      </x:c>
      <x:c r="F90" s="29" t="str">
        <x:v>2026-09-07</x:v>
      </x:c>
      <x:c r="G90" s="29"/>
      <x:c r="H90" s="29"/>
      <x:c r="I90" s="28" t="str">
        <x:v>Halted</x:v>
      </x:c>
      <x:c r="J90" s="30"/>
      <x:c r="K90" s="30"/>
      <x:c r="L90" s="28" t="str">
        <x:v>15-1252</x:v>
      </x:c>
      <x:c r="M90" s="28" t="str">
        <x:v>Software Developers</x:v>
      </x:c>
      <x:c r="N90" s="31" t="str">
        <x:v>San Francisco and New York were indexed locations, but no wage decision is needed because the authoritative Ashby page now states Job not found.</x:v>
      </x:c>
      <x:c r="O90" s="31" t="str">
        <x:v>New York, NY preferred</x:v>
      </x:c>
      <x:c r="P90" s="31" t="str">
        <x:v>San Francisco, CA</x:v>
      </x:c>
      <x:c r="Q90" s="31" t="str">
        <x:v>On-site</x:v>
      </x:c>
      <x:c r="R90" s="31" t="str">
        <x:v>Not verified before closure</x:v>
      </x:c>
      <x:c r="S90" s="31" t="str">
        <x:v>Strong</x:v>
      </x:c>
      <x:c r="T90" s="31" t="str">
        <x:v>Early-career full-stack ownership on an AI healthcare operations platform aligns with the candidate's production full-stack and applied-AI experience.</x:v>
      </x:c>
      <x:c r="U90" s="31" t="str">
        <x:v>Not used</x:v>
      </x:c>
      <x:c r="V90" s="31" t="str">
        <x:v>None</x:v>
      </x:c>
      <x:c r="W90" s="31" t="str">
        <x:v>Halted because the authoritative Ashby page currently says Job not found.</x:v>
      </x:c>
    </x:row>
    <x:row r="91">
      <x:c r="A91" s="28" t="str">
        <x:v>Cerebras Systems</x:v>
      </x:c>
      <x:c r="B91" s="28" t="str">
        <x:v>ML Software Engineer - Integration &amp; Quality - New Grad</x:v>
      </x:c>
      <x:c r="C91" s="28" t="str">
        <x:v>Not captured</x:v>
      </x:c>
      <x:c r="D91" s="28" t="str">
        <x:v>https://jobs.ashbyhq.com/cerebras/05fd05ea-b515-4c26-851e-b3882dfba154</x:v>
      </x:c>
      <x:c r="E91" s="29" t="str">
        <x:v>Recently indexed</x:v>
      </x:c>
      <x:c r="F91" s="29" t="str">
        <x:v>2026-09-07</x:v>
      </x:c>
      <x:c r="G91" s="29"/>
      <x:c r="H91" s="29"/>
      <x:c r="I91" s="28" t="str">
        <x:v>Halted</x:v>
      </x:c>
      <x:c r="J91" s="30"/>
      <x:c r="K91" s="30"/>
      <x:c r="L91" s="28" t="str">
        <x:v>15-1252</x:v>
      </x:c>
      <x:c r="M91" s="28" t="str">
        <x:v>Software Developers</x:v>
      </x:c>
      <x:c r="N91" s="31" t="str">
        <x:v>The indexed posting listed U.S. and Canada offices but no usable worksite/salary combination; the authoritative opening is now unavailable.</x:v>
      </x:c>
      <x:c r="O91" s="31" t="str">
        <x:v>None</x:v>
      </x:c>
      <x:c r="P91" s="31"/>
      <x:c r="Q91" s="31" t="str">
        <x:v>Hybrid</x:v>
      </x:c>
      <x:c r="R91" s="31" t="str">
        <x:v>Not verified before closure</x:v>
      </x:c>
      <x:c r="S91" s="31" t="str">
        <x:v>Excellent</x:v>
      </x:c>
      <x:c r="T91" s="31" t="str">
        <x:v>New-grad ML integration and quality work is closely aligned with the candidate's model evaluation, inference, deployment, automation, and cloud GPU experience.</x:v>
      </x:c>
      <x:c r="U91" s="31" t="str">
        <x:v>Not used</x:v>
      </x:c>
      <x:c r="V91" s="31" t="str">
        <x:v>None</x:v>
      </x:c>
      <x:c r="W91" s="31" t="str">
        <x:v>Halted because the authoritative Ashby page currently says Job not found.</x:v>
      </x:c>
    </x:row>
    <x:row r="92">
      <x:c r="A92" s="28" t="str">
        <x:v>Meshy</x:v>
      </x:c>
      <x:c r="B92" s="28" t="str">
        <x:v>Software Engineer - New Grad</x:v>
      </x:c>
      <x:c r="C92" s="28" t="str">
        <x:v>Not captured</x:v>
      </x:c>
      <x:c r="D92" s="28" t="str">
        <x:v>https://jobs.ashbyhq.com/meshy/4d91eb31-80a5-44de-82bc-ba6e3f4f0d2b/</x:v>
      </x:c>
      <x:c r="E92" s="29" t="str">
        <x:v>Previously indexed</x:v>
      </x:c>
      <x:c r="F92" s="29" t="str">
        <x:v>2026-09-07</x:v>
      </x:c>
      <x:c r="G92" s="29"/>
      <x:c r="H92" s="29"/>
      <x:c r="I92" s="28" t="str">
        <x:v>Halted</x:v>
      </x:c>
      <x:c r="J92" s="30"/>
      <x:c r="K92" s="30"/>
      <x:c r="L92" s="28" t="str">
        <x:v>15-1252</x:v>
      </x:c>
      <x:c r="M92" s="28" t="str">
        <x:v>Software Developers</x:v>
      </x:c>
      <x:c r="N92" s="31" t="str">
        <x:v>No current salary or worksite comparison is possible because the authoritative opening has been removed.</x:v>
      </x:c>
      <x:c r="O92" s="31" t="str">
        <x:v>None</x:v>
      </x:c>
      <x:c r="P92" s="31"/>
      <x:c r="Q92" s="31" t="str">
        <x:v>Not available</x:v>
      </x:c>
      <x:c r="R92" s="31" t="str">
        <x:v>Not verified before closure</x:v>
      </x:c>
      <x:c r="S92" s="31" t="str">
        <x:v>Strong</x:v>
      </x:c>
      <x:c r="T92" s="31" t="str">
        <x:v>Broad early-career work across scalable systems, product features, and performance optimization aligns with the candidate's full-stack and systems profile.</x:v>
      </x:c>
      <x:c r="U92" s="31" t="str">
        <x:v>Not used</x:v>
      </x:c>
      <x:c r="V92" s="31" t="str">
        <x:v>None</x:v>
      </x:c>
      <x:c r="W92" s="31" t="str">
        <x:v>Halted because the authoritative Ashby page currently says Job not found.</x:v>
      </x:c>
    </x:row>
    <x:row r="93">
      <x:c r="A93" s="28" t="str">
        <x:v>Optiver</x:v>
      </x:c>
      <x:c r="B93" s="28" t="str">
        <x:v>Graduate Software Engineer (2027 Start)</x:v>
      </x:c>
      <x:c r="C93" s="28" t="str">
        <x:v>Not captured</x:v>
      </x:c>
      <x:c r="D93" s="28" t="str">
        <x:v>https://www.optiver.com/join-us/jobs/technology/austin/graduate-software-engineer-2027-start/</x:v>
      </x:c>
      <x:c r="E93" s="29" t="str">
        <x:v>Recently indexed</x:v>
      </x:c>
      <x:c r="F93" s="29" t="str">
        <x:v>2026-09-07</x:v>
      </x:c>
      <x:c r="G93" s="29"/>
      <x:c r="H93" s="29"/>
      <x:c r="I93" s="28" t="str">
        <x:v>Halted</x:v>
      </x:c>
      <x:c r="J93" s="30" t="n">
        <x:v>200000</x:v>
      </x:c>
      <x:c r="K93" s="30" t="n">
        <x:v>200000</x:v>
      </x:c>
      <x:c r="L93" s="28" t="str">
        <x:v>15-1252</x:v>
      </x:c>
      <x:c r="M93" s="28" t="str">
        <x:v>Software Developers</x:v>
      </x:c>
      <x:c r="N93" s="31" t="str">
        <x:v>Austin Level 4 is $167,149, so the indexed $200,000 salary exceeded every wage level. The authoritative role URL now returns 404, making the compensation analysis moot.</x:v>
      </x:c>
      <x:c r="O93" s="31" t="str">
        <x:v>Austin, TX</x:v>
      </x:c>
      <x:c r="P93" s="31" t="str">
        <x:v>A parallel Chicago posting was also indexed but is absent from the current live Chicago job list.</x:v>
      </x:c>
      <x:c r="Q93" s="31" t="str">
        <x:v>On-site/location-based</x:v>
      </x:c>
      <x:c r="R93" s="31" t="str">
        <x:v>The indexed graduate description expressly supported U.S. immigration sponsorship for the role.</x:v>
      </x:c>
      <x:c r="S93" s="31" t="str">
        <x:v>Excellent</x:v>
      </x:c>
      <x:c r="T93" s="31" t="str">
        <x:v>Degree timing, Python/Java, computer-science fundamentals, analytical background, and systems engineering were realistic matches.</x:v>
      </x:c>
      <x:c r="U93" s="31" t="str">
        <x:v>Not used</x:v>
      </x:c>
      <x:c r="V93" s="31" t="str">
        <x:v>None</x:v>
      </x:c>
      <x:c r="W93" s="31" t="str">
        <x:v>Halted because the authoritative Austin page currently returns 404 and the current Austin/Chicago live lists no longer show the graduate software engineer opening.</x:v>
      </x:c>
    </x:row>
    <x:row r="94">
      <x:c r="A94" s="28" t="str">
        <x:v>The Voleon Group</x:v>
      </x:c>
      <x:c r="B94" s="28" t="str">
        <x:v>Software Engineer - University Hire 2027</x:v>
      </x:c>
      <x:c r="C94" s="28" t="str">
        <x:v>Not captured</x:v>
      </x:c>
      <x:c r="D94" s="28" t="str">
        <x:v>https://jobs.ashbyhq.com/voleon/d732fd5a-ac98-4985-9e60-d1d59f02a66c</x:v>
      </x:c>
      <x:c r="E94" s="29" t="str">
        <x:v>Approximately 3 days before discovery</x:v>
      </x:c>
      <x:c r="F94" s="29" t="str">
        <x:v>2026-09-07</x:v>
      </x:c>
      <x:c r="G94" s="29"/>
      <x:c r="H94" s="29"/>
      <x:c r="I94" s="28" t="str">
        <x:v>Halted</x:v>
      </x:c>
      <x:c r="J94" s="30" t="n">
        <x:v>175000</x:v>
      </x:c>
      <x:c r="K94" s="30" t="n">
        <x:v>210000</x:v>
      </x:c>
      <x:c r="L94" s="28" t="str">
        <x:v>15-1252</x:v>
      </x:c>
      <x:c r="M94" s="28" t="str">
        <x:v>Software Developers</x:v>
      </x:c>
      <x:c r="N94" s="31" t="str">
        <x:v>For New York, the full range clears Level 3 ($165,589) and the upper portion above $193,461 clears Level 4. For Berkeley/San Francisco, the full range clears Level 1 ($152,797), while amounts above $187,075 clear Level 2.</x:v>
      </x:c>
      <x:c r="O94" s="31" t="str">
        <x:v>New York, NY</x:v>
      </x:c>
      <x:c r="P94" s="31" t="str">
        <x:v>Berkeley, CA</x:v>
      </x:c>
      <x:c r="Q94" s="31" t="str">
        <x:v>Hybrid</x:v>
      </x:c>
      <x:c r="R94" s="31" t="str">
        <x:v>Posting requires U.S. work authorization but does not state future sponsorship support.</x:v>
      </x:c>
      <x:c r="S94" s="31" t="str">
        <x:v>Strong technical fit; graduation cohort mismatch</x:v>
      </x:c>
      <x:c r="T94" s="31" t="str">
        <x:v>AI/ML finance systems, Python/software engineering, deployment tooling, and quantitative background align, but the posting specifically requires the graduating class of 2027 while the candidate's master's degree ends in December 2026.</x:v>
      </x:c>
      <x:c r="U94" s="31" t="str">
        <x:v>Not used</x:v>
      </x:c>
      <x:c r="V94" s="31" t="str">
        <x:v>None</x:v>
      </x:c>
      <x:c r="W94" s="31" t="str">
        <x:v>Halted to avoid using time on a role whose explicit 2027 graduating-class condition does not match the resume's December 2026 completion date.</x:v>
      </x:c>
    </x:row>
    <x:row r="95">
      <x:c r="A95" s="28" t="str">
        <x:v>Microsoft</x:v>
      </x:c>
      <x:c r="B95" s="28" t="str">
        <x:v>Software Engineer 2 - Responsible AI</x:v>
      </x:c>
      <x:c r="C95" s="28" t="str">
        <x:v>Not captured</x:v>
      </x:c>
      <x:c r="D95" s="28" t="str">
        <x:v>https://apply.careers.microsoft.com/careers/apply?pid=1970393556986124</x:v>
      </x:c>
      <x:c r="E95" s="29" t="str">
        <x:v>2026-09-04</x:v>
      </x:c>
      <x:c r="F95" s="29" t="str">
        <x:v>2026-09-07</x:v>
      </x:c>
      <x:c r="G95" s="29"/>
      <x:c r="H95" s="29"/>
      <x:c r="I95" s="28" t="str">
        <x:v>Needs input</x:v>
      </x:c>
      <x:c r="J95" s="30" t="n">
        <x:v>102100</x:v>
      </x:c>
      <x:c r="K95" s="30" t="n">
        <x:v>202200</x:v>
      </x:c>
      <x:c r="L95" s="28" t="str">
        <x:v>15-1252</x:v>
      </x:c>
      <x:c r="M95" s="28" t="str">
        <x:v>Software Developers</x:v>
      </x:c>
      <x:c r="N95" s="31" t="str">
        <x:v>Redmond uses Seattle-Tacoma-Bellevue levels: Level 1 $111,613, Level 2 $143,104, Level 3 $174,595, and Level 4 $206,086. The minimum is below Level 1, but compensation from $111,613 clears Level 1; the upper range clears Level 3 but remains below Level 4. New York is also available and has a separate $133,800-$219,200 range, whose entire range clears NYC Level 1 ($109,845). New York is therefore preferred for wage compatibility.</x:v>
      </x:c>
      <x:c r="O95" s="31" t="str">
        <x:v>New York, NY</x:v>
      </x:c>
      <x:c r="P95" s="31" t="str">
        <x:v>Redmond, WA; Mountain View, CA</x:v>
      </x:c>
      <x:c r="Q95" s="31" t="str">
        <x:v>Hybrid, 3 days/week in office</x:v>
      </x:c>
      <x:c r="R95" s="31" t="str">
        <x:v>Posting does not exclude immigration sponsorship; Microsoft has extensive recent H-1B sponsorship history. Future sponsorship requirement must be answered Yes.</x:v>
      </x:c>
      <x:c r="S95" s="31" t="str">
        <x:v>Strong stretch</x:v>
      </x:c>
      <x:c r="T95" s="31" t="str">
        <x:v>Excellent technical overlap with model evaluation, AI safety and governance, inference/orchestration, monitoring, deployment automation, customer-facing AI services, cloud, Docker, Python/Java, and production readiness. The explicit 2+ years requirement is slightly above the approximately 20 months of combined research and internship experience visible on the resume.</x:v>
      </x:c>
      <x:c r="U95" s="31" t="str">
        <x:v>Yuxuan Chen Resume.pdf planned</x:v>
      </x:c>
      <x:c r="V95" s="31" t="str">
        <x:v>Microsoft Careers authentication must be completed through the candidate's own Microsoft, LinkedIn, Google, or Facebook sign-in without sharing credentials.</x:v>
      </x:c>
      <x:c r="W95" s="31" t="str">
        <x:v>Full authoritative description and application entry point verified. No clearance or citizenship restriction applies. On 2026-09-09, both Google and LinkedIn authentication buttons failed to complete the redirect; manual candidate-account sign-in is required before submission.</x:v>
      </x:c>
    </x:row>
    <x:row r="96">
      <x:c r="A96" s="28" t="str">
        <x:v>HP</x:v>
      </x:c>
      <x:c r="B96" s="28" t="str">
        <x:v>Software and Engineering Graduate Roles - HP Solutions</x:v>
      </x:c>
      <x:c r="C96" s="28" t="str">
        <x:v>Not captured</x:v>
      </x:c>
      <x:c r="D96" s="28" t="str">
        <x:v>https://apply.hp.com/careers/job/44108666</x:v>
      </x:c>
      <x:c r="E96" s="29" t="str">
        <x:v>2026-08-25</x:v>
      </x:c>
      <x:c r="F96" s="29" t="str">
        <x:v>2026-09-07</x:v>
      </x:c>
      <x:c r="G96" s="29"/>
      <x:c r="H96" s="29"/>
      <x:c r="I96" s="28" t="str">
        <x:v>Halted</x:v>
      </x:c>
      <x:c r="J96" s="30" t="n">
        <x:v>72600</x:v>
      </x:c>
      <x:c r="K96" s="30" t="n">
        <x:v>108950</x:v>
      </x:c>
      <x:c r="L96" s="28" t="str">
        <x:v>15-1252</x:v>
      </x:c>
      <x:c r="M96" s="28" t="str">
        <x:v>Software Developers</x:v>
      </x:c>
      <x:c r="N96" s="31" t="str">
        <x:v>The pipeline covers Fort Collins, Austin, and Spring. Even before a location-specific comparison, the role is disqualified by its explicit no-sponsorship and no-OPT-support policy. The $72,600-$108,950 range is also below Austin Level 1 ($95,888) at its lower end and below common higher-cost-location benchmarks.</x:v>
      </x:c>
      <x:c r="O96" s="31" t="str">
        <x:v>None</x:v>
      </x:c>
      <x:c r="P96" s="31" t="str">
        <x:v>Fort Collins, CO; Austin, TX; Spring, TX</x:v>
      </x:c>
      <x:c r="Q96" s="31" t="str">
        <x:v>On-site</x:v>
      </x:c>
      <x:c r="R96" s="31" t="str">
        <x:v>Explicitly no current or future work-authorization sponsorship and no assistance or documentation for OPT.</x:v>
      </x:c>
      <x:c r="S96" s="31" t="str">
        <x:v>Excellent technical fit; work-authorization incompatible</x:v>
      </x:c>
      <x:c r="T96" s="31" t="str">
        <x:v>Java, Python, React, Node.js, REST/GraphQL, AWS, SQL, automation, AI, testing, and less-than-24-month experience criteria match strongly, but work authorization is categorically incompatible.</x:v>
      </x:c>
      <x:c r="U96" s="31" t="str">
        <x:v>Not used</x:v>
      </x:c>
      <x:c r="V96" s="31" t="str">
        <x:v>None</x:v>
      </x:c>
      <x:c r="W96" s="31" t="str">
        <x:v>Halted immediately after authoritative full-description review because both sponsorship and OPT support are expressly unavailable.</x:v>
      </x:c>
    </x:row>
    <x:row r="97">
      <x:c r="A97" s="28" t="str">
        <x:v>Nooks</x:v>
      </x:c>
      <x:c r="B97" s="28" t="str">
        <x:v>Software Engineer, New Grad</x:v>
      </x:c>
      <x:c r="C97" s="28" t="str">
        <x:v>Not captured</x:v>
      </x:c>
      <x:c r="D97" s="28" t="str">
        <x:v>https://jobs.ashbyhq.com/nooks/311d6e70-5cfa-4e80-89f6-fe00ac1f9f53/application</x:v>
      </x:c>
      <x:c r="E97" s="29" t="str">
        <x:v>Approximately 6 days before discovery</x:v>
      </x:c>
      <x:c r="F97" s="29" t="str">
        <x:v>2026-09-07</x:v>
      </x:c>
      <x:c r="G97" s="29" t="str">
        <x:v>2026-09-07</x:v>
      </x:c>
      <x:c r="H97" s="29" t="str">
        <x:v>2026-09-13</x:v>
      </x:c>
      <x:c r="I97" s="28" t="str">
        <x:v>Submitted</x:v>
      </x:c>
      <x:c r="J97" s="30" t="n">
        <x:v>155000</x:v>
      </x:c>
      <x:c r="K97" s="30" t="n">
        <x:v>170000</x:v>
      </x:c>
      <x:c r="L97" s="28" t="str">
        <x:v>15-1252</x:v>
      </x:c>
      <x:c r="M97" s="28" t="str">
        <x:v>Software Developers</x:v>
      </x:c>
      <x:c r="N97" s="31" t="str">
        <x:v>San Francisco Level 1 is $152,797 and Level 2 is $187,075. The entire listed $155,000-$170,000 range clears Level 1 but remains below Level 2. The body separately mentions a $200,000 base salary, creating an internal posting inconsistency that should be clarified with the recruiter; $200,000 would clear Level 2.</x:v>
      </x:c>
      <x:c r="O97" s="31" t="str">
        <x:v>San Francisco, CA</x:v>
      </x:c>
      <x:c r="P97" s="31"/>
      <x:c r="Q97" s="31" t="str">
        <x:v>Hybrid, Monday/Tuesday/Thursday in office</x:v>
      </x:c>
      <x:c r="R97" s="31" t="str">
        <x:v>The form accepts sponsorship-required candidates and asks for visa type/expiration. Public FY2026 LCA data shows multiple certified Nooks filings, including Software Engineer roles in San Francisco at $150,000-$215,000; past filings do not guarantee this requisition.</x:v>
      </x:c>
      <x:c r="S97" s="31" t="str">
        <x:v>Exceptional</x:v>
      </x:c>
      <x:c r="T97" s="31" t="str">
        <x:v>Near-exact match to React, TypeScript, Node.js, Python, full-stack product ownership, AI agents, real-time workflows, deployment, monitoring, performance, reliability, customer feedback, research, internships, and new-graduate timing.</x:v>
      </x:c>
      <x:c r="U97" s="31" t="str">
        <x:v>Yuxuan_Chen_Resume_Giga_Software_Engineer_AI_Agents_20260907.pdf</x:v>
      </x:c>
      <x:c r="V97" s="31" t="str">
        <x:v>None</x:v>
      </x:c>
      <x:c r="W97" s="31" t="str">
        <x:v>Submitted successfully through the official Ashby form on 2026-09-13 after resolving the prior file-uploader issue. Selected relocation to San Francisco, female, not Hispanic/Latino, not a protected veteran, no disability, current U.S. work authorization Yes, future sponsorship Yes, and text updates Yes. Immigration response disclosed F-1, OPT pending for 2027-02-18 through 2028-02-17, STEM OPT eligibility and future H-1B need.</x:v>
      </x:c>
    </x:row>
    <x:row r="98">
      <x:c r="A98" s="28" t="str">
        <x:v>Twitch</x:v>
      </x:c>
      <x:c r="B98" s="28" t="str">
        <x:v>Software Engineer I, Memberships</x:v>
      </x:c>
      <x:c r="C98" s="28" t="str">
        <x:v>Not captured</x:v>
      </x:c>
      <x:c r="D98" s="28" t="str">
        <x:v>https://job-boards.greenhouse.io/twitch/jobs/8751076002</x:v>
      </x:c>
      <x:c r="E98" s="29" t="str">
        <x:v>Approximately 1 week before discovery</x:v>
      </x:c>
      <x:c r="F98" s="29" t="str">
        <x:v>2026-09-07</x:v>
      </x:c>
      <x:c r="G98" s="29"/>
      <x:c r="H98" s="29"/>
      <x:c r="I98" s="28" t="str">
        <x:v>Needs input</x:v>
      </x:c>
      <x:c r="J98" s="30" t="n">
        <x:v>110500</x:v>
      </x:c>
      <x:c r="K98" s="30" t="n">
        <x:v>160000</x:v>
      </x:c>
      <x:c r="L98" s="28" t="str">
        <x:v>15-1252</x:v>
      </x:c>
      <x:c r="M98" s="28" t="str">
        <x:v>Software Developers</x:v>
      </x:c>
      <x:c r="N98" s="31" t="str">
        <x:v>Seattle Level 1 is $111,613 and Level 2 is $143,104. The $110,500 minimum is $1,113 below Level 1; nearly the entire range above $111,613 clears Level 1 and the upper portion clears Level 2. San Francisco pays $127,100-$185,000, but only compensation from $152,797 clears SF Level 1. Seattle is preferred because a much larger share of its range is wage-compatible.</x:v>
      </x:c>
      <x:c r="O98" s="31" t="str">
        <x:v>Seattle, WA</x:v>
      </x:c>
      <x:c r="P98" s="31" t="str">
        <x:v>San Francisco, CA</x:v>
      </x:c>
      <x:c r="Q98" s="31" t="str">
        <x:v>Location-based/on-site team</x:v>
      </x:c>
      <x:c r="R98" s="31" t="str">
        <x:v>Posting is silent; Twitch is an Amazon subsidiary and sponsorship must be answered truthfully if the form asks later. No categorical exclusion is shown in the full description.</x:v>
      </x:c>
      <x:c r="S98" s="31" t="str">
        <x:v>Excellent</x:v>
      </x:c>
      <x:c r="T98" s="31" t="str">
        <x:v>Meets the 1+ year threshold through combined professional research and internship work, with direct overlap in Python, Java, distributed systems, TypeScript/React, AWS, scalable user-facing products, algorithms, data structures, and operational excellence.</x:v>
      </x:c>
      <x:c r="U98" s="31" t="str">
        <x:v>Yuxuan Chen Resume.pdf planned</x:v>
      </x:c>
      <x:c r="V98" s="31" t="str">
        <x:v>The required prior Amazon/subsidiary application-history field offers only Yes or No. The candidate does not remember, so neither answer can be selected truthfully.</x:v>
      </x:c>
      <x:c r="W98" s="31" t="str">
        <x:v>Full Greenhouse form rechecked after profile completion. Candidate used Twitch for about two months as a Viewer and has not used other Creator Economy platforms. All other contact, education, relocation, employment, compensation, immigration, citizenship, export-control, and demographic fields are answerable.</x:v>
      </x:c>
    </x:row>
    <x:row r="99">
      <x:c r="A99" s="28" t="str">
        <x:v>Parallel Web Systems</x:v>
      </x:c>
      <x:c r="B99" s="28" t="str">
        <x:v>Early Career Research Engineer</x:v>
      </x:c>
      <x:c r="C99" s="28" t="str">
        <x:v>Not captured</x:v>
      </x:c>
      <x:c r="D99" s="28" t="str">
        <x:v>https://jobs.ashbyhq.com/parallel/056e41f8-7d5f-41c1-99fd-bf002dc072fd/application</x:v>
      </x:c>
      <x:c r="E99" s="29" t="str">
        <x:v>Approximately 4 days before discovery</x:v>
      </x:c>
      <x:c r="F99" s="29" t="str">
        <x:v>2026-09-07</x:v>
      </x:c>
      <x:c r="G99" s="29"/>
      <x:c r="H99" s="29"/>
      <x:c r="I99" s="28" t="str">
        <x:v>Submitted</x:v>
      </x:c>
      <x:c r="J99" s="30" t="n">
        <x:v>150000</x:v>
      </x:c>
      <x:c r="K99" s="30" t="n">
        <x:v>300000</x:v>
      </x:c>
      <x:c r="L99" s="28" t="str">
        <x:v>15-2051</x:v>
      </x:c>
      <x:c r="M99" s="28" t="str">
        <x:v>Data Scientists</x:v>
      </x:c>
      <x:c r="N99" s="31" t="str">
        <x:v>Palo Alto/Bay Area comparison depends on whether the employer uses 15-2051 or 15-1252. Under the software-developer benchmark, Level 1 is $152,797, so the $150,000 minimum is slightly below Level 1 but nearly the entire range clears it; the upper range exceeds all software-developer wage levels.</x:v>
      </x:c>
      <x:c r="O99" s="31" t="str">
        <x:v>Palo Alto, CA</x:v>
      </x:c>
      <x:c r="P99" s="31" t="str">
        <x:v>San Francisco office</x:v>
      </x:c>
      <x:c r="Q99" s="31" t="str">
        <x:v>Fully in-person</x:v>
      </x:c>
      <x:c r="R99" s="31" t="str">
        <x:v>The authoritative posting expressly lists visa sponsorships as a benefit, and the application accepts a Yes answer for future sponsorship.</x:v>
      </x:c>
      <x:c r="S99" s="31" t="str">
        <x:v>Strong research stretch</x:v>
      </x:c>
      <x:c r="T99" s="31" t="str">
        <x:v>Direct overlap with information retrieval, NLP, LLM evaluations, serving latency, data pipelines, large-scale text corpora, AI agents, Python, cloud GPUs, and research-to-production engineering. The main stretch is deeper embedding-model/neural-ranking training experience.</x:v>
      </x:c>
      <x:c r="U99" s="31" t="str">
        <x:v>Yuxuan Chen Resume.pdf</x:v>
      </x:c>
      <x:c r="V99" s="31" t="str">
        <x:v>None; concise truthful responses can be grounded in the resume's GEO platform, LLM evaluation pipeline, information-retrieval work, and willingness to relocate/work in person.</x:v>
      </x:c>
      <x:c r="W99" s="31" t="str">
        <x:v>Submitted successfully through the official Ashby form on 2026-09-07. Included resume, GitHub, willingness to work in person, two-sentence Why Parallel response, GEO-platform proudest-build response, work authorization Yes, and future sponsorship Yes; no referral claimed.</x:v>
      </x:c>
    </x:row>
    <x:row r="100">
      <x:c r="A100" s="28" t="str">
        <x:v>Koah Labs</x:v>
      </x:c>
      <x:c r="B100" s="28" t="str">
        <x:v>Software Engineer, Early Career</x:v>
      </x:c>
      <x:c r="C100" s="28" t="str">
        <x:v>Not captured</x:v>
      </x:c>
      <x:c r="D100" s="28" t="str">
        <x:v>https://jobs.ashbyhq.com/koahlabs/197c931d-3cda-44b3-b26b-470976730808/application</x:v>
      </x:c>
      <x:c r="E100" s="29" t="str">
        <x:v>Approximately 1 week before discovery</x:v>
      </x:c>
      <x:c r="F100" s="29" t="str">
        <x:v>2026-09-07</x:v>
      </x:c>
      <x:c r="G100" s="29"/>
      <x:c r="H100" s="29"/>
      <x:c r="I100" s="28" t="str">
        <x:v>Halted</x:v>
      </x:c>
      <x:c r="J100" s="30" t="n">
        <x:v>120000</x:v>
      </x:c>
      <x:c r="K100" s="30" t="n">
        <x:v>160000</x:v>
      </x:c>
      <x:c r="L100" s="28" t="str">
        <x:v>15-1252</x:v>
      </x:c>
      <x:c r="M100" s="28" t="str">
        <x:v>Software Developers</x:v>
      </x:c>
      <x:c r="N100" s="31" t="str">
        <x:v>San Francisco Level 1 is $152,797. Only the narrow $152,797-$160,000 top portion of the range clears Level 1; most of the range is below the entry prevailing-wage benchmark.</x:v>
      </x:c>
      <x:c r="O100" s="31" t="str">
        <x:v>San Francisco, CA</x:v>
      </x:c>
      <x:c r="P100" s="31"/>
      <x:c r="Q100" s="31" t="str">
        <x:v>On-site</x:v>
      </x:c>
      <x:c r="R100" s="31" t="str">
        <x:v>The form asks whether the applicant can work without employer support. Koah has one FY2026 LCA, but it was for a Technical Consultant rather than this early-career software role, so sponsorship is too uncertain for the wage-risk profile.</x:v>
      </x:c>
      <x:c r="S100" s="31" t="str">
        <x:v>Strong technical fit; visa/wage risk</x:v>
      </x:c>
      <x:c r="T100" s="31" t="str">
        <x:v>Full-stack ambiguity, React, TypeScript, Python, PostgreSQL, AWS, experimentation, and high ownership align, but the role provides little concrete early-career training structure and most of its range is wage-incompatible.</x:v>
      </x:c>
      <x:c r="U100" s="31" t="str">
        <x:v>Not used</x:v>
      </x:c>
      <x:c r="V100" s="31" t="str">
        <x:v>None</x:v>
      </x:c>
      <x:c r="W100" s="31" t="str">
        <x:v>Halted after full description and form review because the combination of an 'without employer support' authorization question, weak role-specific sponsorship evidence, and mostly sub-Level-1 salary is not competitive for the visa-focused search.</x:v>
      </x:c>
    </x:row>
    <x:row r="101">
      <x:c r="A101" s="28" t="str">
        <x:v>Pax</x:v>
      </x:c>
      <x:c r="B101" s="28" t="str">
        <x:v>Software Engineer, Early Career</x:v>
      </x:c>
      <x:c r="C101" s="28" t="str">
        <x:v>https://www.linkedin.com/jobs/view/4441383529</x:v>
      </x:c>
      <x:c r="D101" s="28" t="str">
        <x:v>https://www.ycombinator.com/companies/pax/jobs</x:v>
      </x:c>
      <x:c r="E101" s="29" t="str">
        <x:v>Recently refreshed; recruiting repost observed 2026-09-07</x:v>
      </x:c>
      <x:c r="F101" s="29" t="str">
        <x:v>2026-09-07</x:v>
      </x:c>
      <x:c r="G101" s="29"/>
      <x:c r="H101" s="29"/>
      <x:c r="I101" s="28" t="str">
        <x:v>Halted</x:v>
      </x:c>
      <x:c r="J101" s="30" t="n">
        <x:v>130000</x:v>
      </x:c>
      <x:c r="K101" s="30" t="n">
        <x:v>170000</x:v>
      </x:c>
      <x:c r="L101" s="28" t="str">
        <x:v>15-1252</x:v>
      </x:c>
      <x:c r="M101" s="28" t="str">
        <x:v>Software Developers</x:v>
      </x:c>
      <x:c r="N101" s="31" t="str">
        <x:v>San Francisco Level 1 is $152,797. Only the upper $152,797-$170,000 portion clears Level 1; the employer's direct YC listing shows $130,000-$150,000, entirely below Level 1.</x:v>
      </x:c>
      <x:c r="O101" s="31" t="str">
        <x:v>San Francisco, CA</x:v>
      </x:c>
      <x:c r="P101" s="31"/>
      <x:c r="Q101" s="31" t="str">
        <x:v>In-person only</x:v>
      </x:c>
      <x:c r="R101" s="31" t="str">
        <x:v>The employer explicitly says it cannot sponsor new H-1B petitions and supports only TN visas or eligible visa transfers.</x:v>
      </x:c>
      <x:c r="S101" s="31" t="str">
        <x:v>Exceptional technical fit; immigration incompatible</x:v>
      </x:c>
      <x:c r="T101" s="31" t="str">
        <x:v>React, FastAPI, PostgreSQL, LLM agents, backend architecture, polished UI, startup ownership, and shipped projects match exceptionally well, but the new-H-1B exclusion is decisive.</x:v>
      </x:c>
      <x:c r="U101" s="31" t="str">
        <x:v>Not used</x:v>
      </x:c>
      <x:c r="V101" s="31" t="str">
        <x:v>None</x:v>
      </x:c>
      <x:c r="W101" s="31" t="str">
        <x:v>Halted immediately because the authoritative employer description explicitly excludes new H-1B sponsorship. Text embedded in the job description was treated as page content, not as an instruction to the agent.</x:v>
      </x:c>
    </x:row>
    <x:row r="102">
      <x:c r="A102" s="28" t="str">
        <x:v>Lindy</x:v>
      </x:c>
      <x:c r="B102" s="28" t="str">
        <x:v>Full Stack Software Engineer, Early Career</x:v>
      </x:c>
      <x:c r="C102" s="28" t="str">
        <x:v>Not captured</x:v>
      </x:c>
      <x:c r="D102" s="28" t="str">
        <x:v>https://jobs.ashbyhq.com/lindy/a5100dbe-d851-4544-bb4c-0428d77940eb</x:v>
      </x:c>
      <x:c r="E102" s="29" t="str">
        <x:v>Previously indexed</x:v>
      </x:c>
      <x:c r="F102" s="29" t="str">
        <x:v>2026-09-07</x:v>
      </x:c>
      <x:c r="G102" s="29"/>
      <x:c r="H102" s="29"/>
      <x:c r="I102" s="28" t="str">
        <x:v>Halted</x:v>
      </x:c>
      <x:c r="J102" s="30" t="n">
        <x:v>150000</x:v>
      </x:c>
      <x:c r="K102" s="30" t="n">
        <x:v>220000</x:v>
      </x:c>
      <x:c r="L102" s="28" t="str">
        <x:v>15-1252</x:v>
      </x:c>
      <x:c r="M102" s="28" t="str">
        <x:v>Software Developers</x:v>
      </x:c>
      <x:c r="N102" s="31" t="str">
        <x:v>The indexed San Francisco range crossed multiple wage levels and the role explicitly offered visa sponsorship, but the authoritative Ashby URL now returns Page not found.</x:v>
      </x:c>
      <x:c r="O102" s="31" t="str">
        <x:v>San Francisco, CA</x:v>
      </x:c>
      <x:c r="P102" s="31"/>
      <x:c r="Q102" s="31" t="str">
        <x:v>On-site, 4 days/week</x:v>
      </x:c>
      <x:c r="R102" s="31" t="str">
        <x:v>Indexed description explicitly stated visa sponsorship and up to $20,000 relocation support, but the opening is no longer available.</x:v>
      </x:c>
      <x:c r="S102" s="31" t="str">
        <x:v>Exceptional</x:v>
      </x:c>
      <x:c r="T102" s="31" t="str">
        <x:v>Near-exact fit to TypeScript, Node.js, React, GraphQL, distributed systems, API integrations, LLM APIs, production ownership, debugging, and 0-2 years experience.</x:v>
      </x:c>
      <x:c r="U102" s="31" t="str">
        <x:v>Not used</x:v>
      </x:c>
      <x:c r="V102" s="31" t="str">
        <x:v>None</x:v>
      </x:c>
      <x:c r="W102" s="31" t="str">
        <x:v>Halted only because the authoritative application page is no longer available.</x:v>
      </x:c>
    </x:row>
    <x:row r="103">
      <x:c r="A103" s="28" t="str">
        <x:v>Abridge</x:v>
      </x:c>
      <x:c r="B103" s="28" t="str">
        <x:v>Software Engineer - Early Career</x:v>
      </x:c>
      <x:c r="C103" s="28" t="str">
        <x:v>Not captured</x:v>
      </x:c>
      <x:c r="D103" s="28" t="str">
        <x:v>https://jobs.ashbyhq.com/abridge/7d6ae2be-cd53-466c-8151-2dae2e87aace</x:v>
      </x:c>
      <x:c r="E103" s="29" t="str">
        <x:v>Previously indexed</x:v>
      </x:c>
      <x:c r="F103" s="29" t="str">
        <x:v>2026-09-07</x:v>
      </x:c>
      <x:c r="G103" s="29"/>
      <x:c r="H103" s="29"/>
      <x:c r="I103" s="28" t="str">
        <x:v>Halted</x:v>
      </x:c>
      <x:c r="J103" s="30" t="n">
        <x:v>167000</x:v>
      </x:c>
      <x:c r="K103" s="30" t="n">
        <x:v>184000</x:v>
      </x:c>
      <x:c r="L103" s="28" t="str">
        <x:v>15-1252</x:v>
      </x:c>
      <x:c r="M103" s="28" t="str">
        <x:v>Software Developers</x:v>
      </x:c>
      <x:c r="N103" s="31" t="str">
        <x:v>The indexed San Francisco range fully cleared Level 1 ($152,797), but the authoritative application page now reports Job not found.</x:v>
      </x:c>
      <x:c r="O103" s="31" t="str">
        <x:v>San Francisco, CA</x:v>
      </x:c>
      <x:c r="P103" s="31"/>
      <x:c r="Q103" s="31" t="str">
        <x:v>On-site</x:v>
      </x:c>
      <x:c r="R103" s="31" t="str">
        <x:v>Not verified before closure</x:v>
      </x:c>
      <x:c r="S103" s="31" t="str">
        <x:v>Exceptional</x:v>
      </x:c>
      <x:c r="T103" s="31" t="str">
        <x:v>Applied generative AI, agentic LLM systems, retrieval, structured tool use, chained workflows, production engineering, and healthcare workflow reliability align strongly.</x:v>
      </x:c>
      <x:c r="U103" s="31" t="str">
        <x:v>Not used</x:v>
      </x:c>
      <x:c r="V103" s="31" t="str">
        <x:v>None</x:v>
      </x:c>
      <x:c r="W103" s="31" t="str">
        <x:v>Halted because the authoritative Ashby page now says Job not found.</x:v>
      </x:c>
    </x:row>
    <x:row r="104">
      <x:c r="A104" s="28" t="str">
        <x:v>Faction</x:v>
      </x:c>
      <x:c r="B104" s="28" t="str">
        <x:v>Member of Technical Staff (Applied AI)</x:v>
      </x:c>
      <x:c r="C104" s="28" t="str">
        <x:v>Not captured</x:v>
      </x:c>
      <x:c r="D104" s="28" t="str">
        <x:v>https://jobs.ashbyhq.com/faction/3451cb7e-5e34-4e09-aca2-17f5ee878cc0/application</x:v>
      </x:c>
      <x:c r="E104" s="29" t="str">
        <x:v>Current opening; exact date not captured</x:v>
      </x:c>
      <x:c r="F104" s="29" t="str">
        <x:v>2026-09-07</x:v>
      </x:c>
      <x:c r="G104" s="29"/>
      <x:c r="H104" s="29"/>
      <x:c r="I104" s="28" t="str">
        <x:v>Submitted</x:v>
      </x:c>
      <x:c r="J104" s="30"/>
      <x:c r="K104" s="30"/>
      <x:c r="L104" s="28" t="str">
        <x:v>15-1252</x:v>
      </x:c>
      <x:c r="M104" s="28" t="str">
        <x:v>Software Developers</x:v>
      </x:c>
      <x:c r="N104" s="31" t="str">
        <x:v>New York salary is described only as top-of-market compensation, so an offer must be compared with NYC Level 1 $109,845, Level 2 $137,717, Level 3 $165,589, and Level 4 $193,461. The company expressly offers visa sponsorship and relocation.</x:v>
      </x:c>
      <x:c r="O104" s="31" t="str">
        <x:v>New York, NY</x:v>
      </x:c>
      <x:c r="P104" s="31"/>
      <x:c r="Q104" s="31" t="str">
        <x:v>On-site; intensive 9-9-6 schedule disclosed</x:v>
      </x:c>
      <x:c r="R104" s="31" t="str">
        <x:v>Authoritative posting states the company will do everything in its power to sponsor the successful candidate and relocate them to NYC.</x:v>
      </x:c>
      <x:c r="S104" s="31" t="str">
        <x:v>Exceptional</x:v>
      </x:c>
      <x:c r="T104" s="31" t="str">
        <x:v>Exact core-stack match to Next.js/TypeScript, Python/FastAPI, PostgreSQL, AI agents, tool calling, LLM robustness, enterprise integrations, high-performance backend services, deployment, and ownership. The company explicitly hires on trajectory rather than resume length.</x:v>
      </x:c>
      <x:c r="U104" s="31" t="str">
        <x:v>Yuxuan Chen Resume.pdf</x:v>
      </x:c>
      <x:c r="V104" s="31" t="str">
        <x:v>None</x:v>
      </x:c>
      <x:c r="W104" s="31" t="str">
        <x:v>Submitted successfully through the official Ashby form on 2026-09-07. Confirmation page displayed: Your application was successfully submitted. Included name, email, resume, LinkedIn, and GitHub.</x:v>
      </x:c>
    </x:row>
    <x:row r="105">
      <x:c r="A105" s="28" t="str">
        <x:v>Solstice</x:v>
      </x:c>
      <x:c r="B105" s="28" t="str">
        <x:v>Member of Technical Staff (Applied AI)</x:v>
      </x:c>
      <x:c r="C105" s="28" t="str">
        <x:v>Not captured</x:v>
      </x:c>
      <x:c r="D105" s="28" t="str">
        <x:v>https://jobs.ashbyhq.com/solstice/dcca6848-8fe7-4be7-821a-e6bdc3c8cb53/application</x:v>
      </x:c>
      <x:c r="E105" s="29" t="str">
        <x:v>Current opening; exact date not captured</x:v>
      </x:c>
      <x:c r="F105" s="29" t="str">
        <x:v>2026-09-07</x:v>
      </x:c>
      <x:c r="G105" s="29"/>
      <x:c r="H105" s="29"/>
      <x:c r="I105" s="28" t="str">
        <x:v>Submitted</x:v>
      </x:c>
      <x:c r="J105" s="30" t="n">
        <x:v>160000</x:v>
      </x:c>
      <x:c r="K105" s="30" t="n">
        <x:v>300000</x:v>
      </x:c>
      <x:c r="L105" s="28" t="str">
        <x:v>15-2051</x:v>
      </x:c>
      <x:c r="M105" s="28" t="str">
        <x:v>Data Scientists / Applied AI</x:v>
      </x:c>
      <x:c r="N105" s="31" t="str">
        <x:v>Using NYC software-developer levels as a conservative engineering comparison, the full $160,000-$300,000 range clears Level 2 ($137,717); compensation from $165,589 clears Level 3 and from $193,461 clears Level 4. The exact employer-selected SOC would determine the formal prevailing wage.</x:v>
      </x:c>
      <x:c r="O105" s="31" t="str">
        <x:v>New York, NY</x:v>
      </x:c>
      <x:c r="P105" s="31"/>
      <x:c r="Q105" s="31" t="str">
        <x:v>On-site, 5 days/week</x:v>
      </x:c>
      <x:c r="R105" s="31" t="str">
        <x:v>Authoritative posting expressly states O-1, H-1B, and TN sponsorship is available, plus relocation support.</x:v>
      </x:c>
      <x:c r="S105" s="31" t="str">
        <x:v>Exceptional</x:v>
      </x:c>
      <x:c r="T105" s="31" t="str">
        <x:v>Near-exact match to prompt engineering, RAG, model experimentation, benchmarking, LLM evaluation infrastructure, Python, FastAPI, Docker, AWS, CI/CD, monitoring, agents, full-stack flexibility, customer support, and end-to-end deployment.</x:v>
      </x:c>
      <x:c r="U105" s="31" t="str">
        <x:v>Yuxuan Chen Resume.pdf</x:v>
      </x:c>
      <x:c r="V105" s="31" t="str">
        <x:v>None</x:v>
      </x:c>
      <x:c r="W105" s="31" t="str">
        <x:v>Submitted successfully through the official Ashby form on 2026-09-07. Included name, email, resume, LinkedIn, and a role-specific statement grounded in LLM evaluation, RAG, Python/FastAPI, Docker, AWS, and healthcare impact.</x:v>
      </x:c>
    </x:row>
    <x:row r="106">
      <x:c r="A106" s="28" t="str">
        <x:v>Reka</x:v>
      </x:c>
      <x:c r="B106" s="28" t="str">
        <x:v>Member of Technical Staff (Applied AI)</x:v>
      </x:c>
      <x:c r="C106" s="28" t="str">
        <x:v>Not captured</x:v>
      </x:c>
      <x:c r="D106" s="28" t="str">
        <x:v>https://jobs.ashbyhq.com/Reka/e059e019-b7f1-4ccb-a53b-1db4f821621c/application</x:v>
      </x:c>
      <x:c r="E106" s="29" t="str">
        <x:v>Approximately 2 days before discovery</x:v>
      </x:c>
      <x:c r="F106" s="29" t="str">
        <x:v>2026-09-07</x:v>
      </x:c>
      <x:c r="G106" s="29"/>
      <x:c r="H106" s="29"/>
      <x:c r="I106" s="28" t="str">
        <x:v>Submitted</x:v>
      </x:c>
      <x:c r="J106" s="30"/>
      <x:c r="K106" s="30"/>
      <x:c r="L106" s="28" t="str">
        <x:v>15-2051</x:v>
      </x:c>
      <x:c r="M106" s="28" t="str">
        <x:v>Data Scientists / Applied AI</x:v>
      </x:c>
      <x:c r="N106" s="31" t="str">
        <x:v>Remote U.S. role with no disclosed salary or employing worksite, so the applicable wage area and level cannot be fixed before an offer or worksite designation.</x:v>
      </x:c>
      <x:c r="O106" s="31" t="str">
        <x:v>Remote U.S.; Malden/Boston worksite preferred if available</x:v>
      </x:c>
      <x:c r="P106" s="31" t="str">
        <x:v>United Kingdom</x:v>
      </x:c>
      <x:c r="Q106" s="31" t="str">
        <x:v>Remote-first</x:v>
      </x:c>
      <x:c r="R106" s="31" t="str">
        <x:v>Authoritative posting expressly provides U.S. visa assistance, including H-1B and OPT transfers.</x:v>
      </x:c>
      <x:c r="S106" s="31" t="str">
        <x:v>Excellent</x:v>
      </x:c>
      <x:c r="T106" s="31" t="str">
        <x:v>Strong match to productionizing LLMs, model evaluation, transformer/LLM experience, customer integration, cross-functional delivery, ambiguity, product ownership, research collaboration, and fast learning. Technical-founder preference is a gap but is not stated as mandatory.</x:v>
      </x:c>
      <x:c r="U106" s="31" t="str">
        <x:v>Yuxuan Chen Resume.pdf</x:v>
      </x:c>
      <x:c r="V106" s="31" t="str">
        <x:v>None</x:v>
      </x:c>
      <x:c r="W106" s="31" t="str">
        <x:v>Submitted successfully through the official Ashby form on 2026-09-07. Current location selected as Malden, Massachusetts, United States; current company listed as Northeastern University. Included resume, GitHub, LinkedIn, and a role-specific statement grounded in LLM evaluation, RAG/agent systems, and production integration.</x:v>
      </x:c>
    </x:row>
    <x:row r="107">
      <x:c r="A107" s="28" t="str">
        <x:v>Artificial Analysis</x:v>
      </x:c>
      <x:c r="B107" s="28" t="str">
        <x:v>Member of Technical Staff (Applied AI Research)</x:v>
      </x:c>
      <x:c r="C107" s="28" t="str">
        <x:v>Not captured</x:v>
      </x:c>
      <x:c r="D107" s="28" t="str">
        <x:v>https://jobs.ashbyhq.com/artificialanalysis/b7fe99a0-9425-4534-9172-14f4a691b0a6/application</x:v>
      </x:c>
      <x:c r="E107" s="29" t="str">
        <x:v>Approximately 6 days before discovery</x:v>
      </x:c>
      <x:c r="F107" s="29" t="str">
        <x:v>2026-09-07</x:v>
      </x:c>
      <x:c r="G107" s="29"/>
      <x:c r="H107" s="29"/>
      <x:c r="I107" s="28" t="str">
        <x:v>Halted</x:v>
      </x:c>
      <x:c r="J107" s="30"/>
      <x:c r="K107" s="30"/>
      <x:c r="L107" s="28" t="str">
        <x:v>15-2051</x:v>
      </x:c>
      <x:c r="M107" s="28" t="str">
        <x:v>Data Scientists</x:v>
      </x:c>
      <x:c r="N107" s="31" t="str">
        <x:v>San Francisco salary is undisclosed, so wage compatibility cannot be verified. The explicit 3+ years of relevant professional experience is independently disqualifying for this search stage.</x:v>
      </x:c>
      <x:c r="O107" s="31" t="str">
        <x:v>San Francisco, CA</x:v>
      </x:c>
      <x:c r="P107" s="31"/>
      <x:c r="Q107" s="31" t="str">
        <x:v>On-site</x:v>
      </x:c>
      <x:c r="R107" s="31" t="str">
        <x:v>Not stated</x:v>
      </x:c>
      <x:c r="S107" s="31" t="str">
        <x:v>Exceptional subject-matter fit; experience mismatch</x:v>
      </x:c>
      <x:c r="T107" s="31" t="str">
        <x:v>Benchmark design, model evaluation, datasets, scoring systems, frontier-model testing, Python, analysis, and published findings align unusually well, but the employer explicitly requires at least three years of relevant professional experience.</x:v>
      </x:c>
      <x:c r="U107" s="31" t="str">
        <x:v>Not used</x:v>
      </x:c>
      <x:c r="V107" s="31" t="str">
        <x:v>None</x:v>
      </x:c>
      <x:c r="W107" s="31" t="str">
        <x:v>Halted after full authoritative review because the hard 3+ year requirement materially exceeds the approximately 20 months of combined research and internship experience visible on the resume.</x:v>
      </x:c>
    </x:row>
    <x:row r="108">
      <x:c r="A108" s="28" t="str">
        <x:v>Tzafon</x:v>
      </x:c>
      <x:c r="B108" s="28" t="str">
        <x:v>Member of Technical Staff - Applied AI</x:v>
      </x:c>
      <x:c r="C108" s="28" t="str">
        <x:v>Not captured</x:v>
      </x:c>
      <x:c r="D108" s="28" t="str">
        <x:v>https://jobs.ashbyhq.com/tzafon/cd4a8db1-d779-44a1-9cc9-76190bc8db2c/application</x:v>
      </x:c>
      <x:c r="E108" s="29" t="str">
        <x:v>Current opening; exact date not captured</x:v>
      </x:c>
      <x:c r="F108" s="29" t="str">
        <x:v>2026-09-07</x:v>
      </x:c>
      <x:c r="G108" s="29"/>
      <x:c r="H108" s="29"/>
      <x:c r="I108" s="28" t="str">
        <x:v>Halted</x:v>
      </x:c>
      <x:c r="J108" s="30" t="n">
        <x:v>150000</x:v>
      </x:c>
      <x:c r="K108" s="30" t="n">
        <x:v>400000</x:v>
      </x:c>
      <x:c r="L108" s="28" t="str">
        <x:v>15-2051</x:v>
      </x:c>
      <x:c r="M108" s="28" t="str">
        <x:v>Data Scientists / Machine Learning Engineers</x:v>
      </x:c>
      <x:c r="N108" s="31" t="str">
        <x:v>San Francisco compensation begins slightly below the software-developer Level 1 benchmark of $152,797 but the broad upper range clears all levels. Salary compatibility does not offset the specialized qualification gap.</x:v>
      </x:c>
      <x:c r="O108" s="31" t="str">
        <x:v>San Francisco, CA</x:v>
      </x:c>
      <x:c r="P108" s="31" t="str">
        <x:v>Tel Aviv; Zurich</x:v>
      </x:c>
      <x:c r="Q108" s="31" t="str">
        <x:v>On-site</x:v>
      </x:c>
      <x:c r="R108" s="31" t="str">
        <x:v>The authoritative posting says visas are sponsored when possible and an immigration lawyer is retained, but success is not guaranteed for every role or candidate.</x:v>
      </x:c>
      <x:c r="S108" s="31" t="str">
        <x:v>Partial; specialized model-training requirements unmet</x:v>
      </x:c>
      <x:c r="T108" s="31" t="str">
        <x:v>LLM evaluation infrastructure, benchmarks, behavioral data pipelines, and production model systems align, but the role requires expert PyTorch, deep fine-tuning experience, RLHF, W&amp;B/MLflow, and post-training implementation not supported by the resume.</x:v>
      </x:c>
      <x:c r="U108" s="31" t="str">
        <x:v>Not used</x:v>
      </x:c>
      <x:c r="V108" s="31" t="str">
        <x:v>None</x:v>
      </x:c>
      <x:c r="W108" s="31" t="str">
        <x:v>Halted because multiple core minimum qualifications would require fabrication or substantial overstatement.</x:v>
      </x:c>
    </x:row>
    <x:row r="109">
      <x:c r="A109" s="28" t="str">
        <x:v>Listen Labs</x:v>
      </x:c>
      <x:c r="B109" s="28" t="str">
        <x:v>Member of Technical Staff, Applied AI</x:v>
      </x:c>
      <x:c r="C109" s="28" t="str">
        <x:v>Not captured</x:v>
      </x:c>
      <x:c r="D109" s="28" t="str">
        <x:v>https://jobs.ashbyhq.com/listenlabs/c5ac0e6f-2824-40c9-b10f-8370c3d53f59/</x:v>
      </x:c>
      <x:c r="E109" s="29" t="str">
        <x:v>Previously indexed</x:v>
      </x:c>
      <x:c r="F109" s="29" t="str">
        <x:v>2026-09-07</x:v>
      </x:c>
      <x:c r="G109" s="29"/>
      <x:c r="H109" s="29"/>
      <x:c r="I109" s="28" t="str">
        <x:v>Halted</x:v>
      </x:c>
      <x:c r="J109" s="30" t="n">
        <x:v>150000</x:v>
      </x:c>
      <x:c r="K109" s="30" t="n">
        <x:v>300000</x:v>
      </x:c>
      <x:c r="L109" s="28" t="str">
        <x:v>15-1252</x:v>
      </x:c>
      <x:c r="M109" s="28" t="str">
        <x:v>Software Developers</x:v>
      </x:c>
      <x:c r="N109" s="31" t="str">
        <x:v>The indexed San Francisco range crossed all four software-developer levels, but the authoritative application page now says Job not found.</x:v>
      </x:c>
      <x:c r="O109" s="31" t="str">
        <x:v>San Francisco, CA</x:v>
      </x:c>
      <x:c r="P109" s="31"/>
      <x:c r="Q109" s="31" t="str">
        <x:v>On-site</x:v>
      </x:c>
      <x:c r="R109" s="31" t="str">
        <x:v>Not verified before closure</x:v>
      </x:c>
      <x:c r="S109" s="31" t="str">
        <x:v>Strong</x:v>
      </x:c>
      <x:c r="T109" s="31" t="str">
        <x:v>AI-powered research, analysis of conversations, end-to-end product engineering, and applied LLM work are relevant, but the opening is unavailable.</x:v>
      </x:c>
      <x:c r="U109" s="31" t="str">
        <x:v>Not used</x:v>
      </x:c>
      <x:c r="V109" s="31" t="str">
        <x:v>None</x:v>
      </x:c>
      <x:c r="W109" s="31" t="str">
        <x:v>Halted because the authoritative Ashby page now says Job not found.</x:v>
      </x:c>
    </x:row>
    <x:row r="110">
      <x:c r="A110" s="28" t="str">
        <x:v>DCCA (listing reposted by TechJobsData)</x:v>
      </x:c>
      <x:c r="B110" s="28" t="str">
        <x:v>Associate Software Engineering Developer</x:v>
      </x:c>
      <x:c r="C110" s="28" t="str">
        <x:v>https://www.linkedin.com/jobs/view/4462919883/</x:v>
      </x:c>
      <x:c r="D110" s="28" t="str">
        <x:v>Not pursued; LinkedIn listing requires active TS/SCI clearance</x:v>
      </x:c>
      <x:c r="E110" s="29" t="str">
        <x:v>2026-09-07</x:v>
      </x:c>
      <x:c r="F110" s="29" t="str">
        <x:v>2026-09-07</x:v>
      </x:c>
      <x:c r="G110" s="29"/>
      <x:c r="H110" s="29"/>
      <x:c r="I110" s="28" t="str">
        <x:v>Halted</x:v>
      </x:c>
      <x:c r="J110" s="30" t="n">
        <x:v>90000</x:v>
      </x:c>
      <x:c r="K110" s="30" t="n">
        <x:v>127000</x:v>
      </x:c>
      <x:c r="L110" s="28" t="str">
        <x:v>15-1252</x:v>
      </x:c>
      <x:c r="M110" s="28" t="str">
        <x:v>Software Developers</x:v>
      </x:c>
      <x:c r="N110" s="31" t="str">
        <x:v>Broomfield, Colorado salary is $90,000-$127,000. Offer-level wage compatibility would require the exact Denver-area row from the wage workbook, but the mandatory active TS/SCI clearance makes the role categorically ineligible regardless of salary.</x:v>
      </x:c>
      <x:c r="O110" s="31" t="str">
        <x:v>Broomfield, CO</x:v>
      </x:c>
      <x:c r="P110" s="31"/>
      <x:c r="Q110" s="31" t="str">
        <x:v>On-site</x:v>
      </x:c>
      <x:c r="R110" s="31" t="str">
        <x:v>Incompatible: active TS/SCI security clearance is mandatory.</x:v>
      </x:c>
      <x:c r="S110" s="31" t="str">
        <x:v>Ineligible</x:v>
      </x:c>
      <x:c r="T110" s="31" t="str">
        <x:v>Python, Django, AWS, microservices, CI/CD and full-stack responsibilities fit technically, but the candidate cannot hold the required active TS/SCI clearance.</x:v>
      </x:c>
      <x:c r="U110" s="31" t="str">
        <x:v>Not used</x:v>
      </x:c>
      <x:c r="V110" s="31" t="str">
        <x:v>None</x:v>
      </x:c>
      <x:c r="W110" s="31" t="str">
        <x:v>Halted immediately after full LinkedIn description review because the posting explicitly requires an active TS/SCI clearance.</x:v>
      </x:c>
    </x:row>
    <x:row r="111">
      <x:c r="A111" s="28" t="str">
        <x:v>Collaboration.Ai</x:v>
      </x:c>
      <x:c r="B111" s="28" t="str">
        <x:v>Back-End Engineer</x:v>
      </x:c>
      <x:c r="C111" s="28" t="str">
        <x:v>https://www.linkedin.com/jobs/view/4461885126/</x:v>
      </x:c>
      <x:c r="D111" s="28" t="str">
        <x:v>https://weworkremotely.com/remote-jobs/collaboration-ai-back-end-engineer</x:v>
      </x:c>
      <x:c r="E111" s="29" t="str">
        <x:v>2026-09-07</x:v>
      </x:c>
      <x:c r="F111" s="29" t="str">
        <x:v>2026-09-07</x:v>
      </x:c>
      <x:c r="G111" s="29"/>
      <x:c r="H111" s="29"/>
      <x:c r="I111" s="28" t="str">
        <x:v>Halted</x:v>
      </x:c>
      <x:c r="J111" s="30"/>
      <x:c r="K111" s="30"/>
      <x:c r="L111" s="28" t="str">
        <x:v>15-1252</x:v>
      </x:c>
      <x:c r="M111" s="28" t="str">
        <x:v>Software Developers</x:v>
      </x:c>
      <x:c r="N111" s="31" t="str">
        <x:v>Compensation is disclosed only as commercially comparable and the remote worksite is not fixed, so no location-specific Level 1 comparison can be made. Eligibility fails independently because U.S. citizenship is required.</x:v>
      </x:c>
      <x:c r="O111" s="31" t="str">
        <x:v>Remote; Minnesota/Central Time preferred by employer</x:v>
      </x:c>
      <x:c r="P111" s="31"/>
      <x:c r="Q111" s="31" t="str">
        <x:v>Remote with occasional travel</x:v>
      </x:c>
      <x:c r="R111" s="31" t="str">
        <x:v>Incompatible: the full description expressly requires U.S. citizenship.</x:v>
      </x:c>
      <x:c r="S111" s="31" t="str">
        <x:v>Ineligible</x:v>
      </x:c>
      <x:c r="T111" s="31" t="str">
        <x:v>Python/TypeScript, PostgreSQL, Docker, AWS, APIs and LLM work overlap, but the role requires at least six years of professional experience, leadership/mentoring, and U.S. citizenship.</x:v>
      </x:c>
      <x:c r="U111" s="31" t="str">
        <x:v>Not used</x:v>
      </x:c>
      <x:c r="V111" s="31" t="str">
        <x:v>None</x:v>
      </x:c>
      <x:c r="W111" s="31" t="str">
        <x:v>Halted after full LinkedIn description review due to the six-year experience requirement and explicit U.S.-citizenship requirement.</x:v>
      </x:c>
    </x:row>
    <x:row r="112">
      <x:c r="A112" s="28" t="str">
        <x:v>TalentHop client (federal-government contractor)</x:v>
      </x:c>
      <x:c r="B112" s="28" t="str">
        <x:v>AI Tool Support Engineer</x:v>
      </x:c>
      <x:c r="C112" s="28" t="str">
        <x:v>https://www.linkedin.com/jobs/view/4461890121/</x:v>
      </x:c>
      <x:c r="D112" s="28" t="str">
        <x:v>Not exposed; TalentHop intermediary listing</x:v>
      </x:c>
      <x:c r="E112" s="29" t="str">
        <x:v>2026-09-07</x:v>
      </x:c>
      <x:c r="F112" s="29" t="str">
        <x:v>2026-09-07</x:v>
      </x:c>
      <x:c r="G112" s="29"/>
      <x:c r="H112" s="29"/>
      <x:c r="I112" s="28" t="str">
        <x:v>Halted</x:v>
      </x:c>
      <x:c r="J112" s="30" t="n">
        <x:v>64000</x:v>
      </x:c>
      <x:c r="K112" s="30" t="n">
        <x:v>124200</x:v>
      </x:c>
      <x:c r="L112" s="28" t="str">
        <x:v>15-1232</x:v>
      </x:c>
      <x:c r="M112" s="28" t="str">
        <x:v>Computer User Support Specialists</x:v>
      </x:c>
      <x:c r="N112" s="31" t="str">
        <x:v>Remote worksite and employing entity are undisclosed. The $64,000-$124,200 range cannot be tied to a defensible wage area; this is primarily Tier 1/Tier 2 support rather than software engineering.</x:v>
      </x:c>
      <x:c r="O112" s="31" t="str">
        <x:v>Remote U.S. (worksite unspecified)</x:v>
      </x:c>
      <x:c r="P112" s="31"/>
      <x:c r="Q112" s="31" t="str">
        <x:v>Remote</x:v>
      </x:c>
      <x:c r="R112" s="31" t="str">
        <x:v>Not stated; end client serves U.S. federal defense and national-security agencies.</x:v>
      </x:c>
      <x:c r="S112" s="31" t="str">
        <x:v>Low</x:v>
      </x:c>
      <x:c r="T112" s="31" t="str">
        <x:v>AI-tool familiarity overlaps, but the core role is helpdesk support, IAM access administration, ticketing, SLA management and technical writing rather than software or applied-AI engineering.</x:v>
      </x:c>
      <x:c r="U112" s="31" t="str">
        <x:v>Not used</x:v>
      </x:c>
      <x:c r="V112" s="31" t="str">
        <x:v>None</x:v>
      </x:c>
      <x:c r="W112" s="31" t="str">
        <x:v>Halted after full description review due to poor role alignment, unidentified employer/worksite, and federal-government context with no sponsorship signal.</x:v>
      </x:c>
    </x:row>
    <x:row r="113">
      <x:c r="A113" s="28" t="str">
        <x:v>SupplyAi</x:v>
      </x:c>
      <x:c r="B113" s="28" t="str">
        <x:v>Founding Engineer</x:v>
      </x:c>
      <x:c r="C113" s="28" t="str">
        <x:v>https://www.linkedin.com/jobs/view/4462926016/</x:v>
      </x:c>
      <x:c r="D113" s="28" t="str">
        <x:v>LinkedIn application entry only</x:v>
      </x:c>
      <x:c r="E113" s="29" t="str">
        <x:v>2026-09-07</x:v>
      </x:c>
      <x:c r="F113" s="29" t="str">
        <x:v>2026-09-07</x:v>
      </x:c>
      <x:c r="G113" s="29"/>
      <x:c r="H113" s="29"/>
      <x:c r="I113" s="28" t="str">
        <x:v>Halted</x:v>
      </x:c>
      <x:c r="J113" s="30" t="n">
        <x:v>0</x:v>
      </x:c>
      <x:c r="K113" s="30" t="n">
        <x:v>0</x:v>
      </x:c>
      <x:c r="L113" s="28" t="str">
        <x:v>15-1252</x:v>
      </x:c>
      <x:c r="M113" s="28" t="str">
        <x:v>Software Developers</x:v>
      </x:c>
      <x:c r="N113" s="31" t="str">
        <x:v>The employer explicitly states that no cash salary is available initially. A zero-cash equity-only arrangement cannot satisfy any H-1B prevailing wage level.</x:v>
      </x:c>
      <x:c r="O113" s="31" t="str">
        <x:v>Remote / Los Angeles area</x:v>
      </x:c>
      <x:c r="P113" s="31"/>
      <x:c r="Q113" s="31" t="str">
        <x:v>Remote; full-time or part-time</x:v>
      </x:c>
      <x:c r="R113" s="31" t="str">
        <x:v>Not stated and structurally incompatible with H-1B wage obligations at the pre-funding equity-only stage.</x:v>
      </x:c>
      <x:c r="S113" s="31" t="str">
        <x:v>Technically strong; compensation incompatible</x:v>
      </x:c>
      <x:c r="T113" s="31" t="str">
        <x:v>Full-stack development, APIs, databases, integrations and AI workflow automation match, but the role offers equity only and no initial cash compensation.</x:v>
      </x:c>
      <x:c r="U113" s="31" t="str">
        <x:v>Not used</x:v>
      </x:c>
      <x:c r="V113" s="31" t="str">
        <x:v>None</x:v>
      </x:c>
      <x:c r="W113" s="31" t="str">
        <x:v>Halted after full description review because the user does not want contract/unpaid work and the equity-only compensation cannot meet Level 1 wage requirements.</x:v>
      </x:c>
    </x:row>
    <x:row r="114">
      <x:c r="A114" s="28" t="str">
        <x:v>Niceboard</x:v>
      </x:c>
      <x:c r="B114" s="28" t="str">
        <x:v>Full Stack Developer</x:v>
      </x:c>
      <x:c r="C114" s="28" t="str">
        <x:v>https://www.linkedin.com/jobs/view/4461884194/</x:v>
      </x:c>
      <x:c r="D114" s="28" t="str">
        <x:v>https://weworkremotely.com/remote-jobs/niceboard-full-stack-developer-2</x:v>
      </x:c>
      <x:c r="E114" s="29" t="str">
        <x:v>2026-09-07</x:v>
      </x:c>
      <x:c r="F114" s="29" t="str">
        <x:v>2026-09-07</x:v>
      </x:c>
      <x:c r="G114" s="29"/>
      <x:c r="H114" s="29"/>
      <x:c r="I114" s="28" t="str">
        <x:v>Halted</x:v>
      </x:c>
      <x:c r="J114" s="30"/>
      <x:c r="K114" s="30"/>
      <x:c r="L114" s="28" t="str">
        <x:v>15-1252</x:v>
      </x:c>
      <x:c r="M114" s="28" t="str">
        <x:v>Software Developers</x:v>
      </x:c>
      <x:c r="N114" s="31" t="str">
        <x:v>Salary is entirely undisclosed and the remote worksite is not fixed, so Level 1 compatibility cannot be established.</x:v>
      </x:c>
      <x:c r="O114" s="31" t="str">
        <x:v>Remote U.S./European time zones</x:v>
      </x:c>
      <x:c r="P114" s="31"/>
      <x:c r="Q114" s="31" t="str">
        <x:v>Remote</x:v>
      </x:c>
      <x:c r="R114" s="31" t="str">
        <x:v>Not stated</x:v>
      </x:c>
      <x:c r="S114" s="31" t="str">
        <x:v>Low-to-moderate stretch</x:v>
      </x:c>
      <x:c r="T114" s="31" t="str">
        <x:v>Product ownership, PostgreSQL, APIs and full-stack work overlap, but the role requires at least three years specifically with Hapi.js, Vue.js, PostgreSQL and Elasticsearch and expects the hire to lead product development.</x:v>
      </x:c>
      <x:c r="U114" s="31" t="str">
        <x:v>Not used</x:v>
      </x:c>
      <x:c r="V114" s="31" t="str">
        <x:v>None</x:v>
      </x:c>
      <x:c r="W114" s="31" t="str">
        <x:v>Halted after full description review because the specific three-year stack requirement and lead-level scope are not realistic, compensation is undisclosed, and application is email-only.</x:v>
      </x:c>
    </x:row>
    <x:row r="115">
      <x:c r="A115" s="28" t="str">
        <x:v>Suncap Technology</x:v>
      </x:c>
      <x:c r="B115" s="28" t="str">
        <x:v>AWS Data Engineer – Open Data Platform</x:v>
      </x:c>
      <x:c r="C115" s="28" t="str">
        <x:v>https://www.linkedin.com/jobs/view/4462921858/</x:v>
      </x:c>
      <x:c r="D115" s="28" t="str">
        <x:v>LinkedIn external application entry</x:v>
      </x:c>
      <x:c r="E115" s="29" t="str">
        <x:v>2026-09-07</x:v>
      </x:c>
      <x:c r="F115" s="29" t="str">
        <x:v>2026-09-07</x:v>
      </x:c>
      <x:c r="G115" s="29"/>
      <x:c r="H115" s="29"/>
      <x:c r="I115" s="28" t="str">
        <x:v>Halted</x:v>
      </x:c>
      <x:c r="J115" s="30"/>
      <x:c r="K115" s="30"/>
      <x:c r="L115" s="28" t="str">
        <x:v>15-1243</x:v>
      </x:c>
      <x:c r="M115" s="28" t="str">
        <x:v>Database Architects</x:v>
      </x:c>
      <x:c r="N115" s="31" t="str">
        <x:v>Compensation is undisclosed. Although listed in New York, the remote contract worksite is not defined, so no defensible local wage comparison can be made.</x:v>
      </x:c>
      <x:c r="O115" s="31" t="str">
        <x:v>Remote / New York</x:v>
      </x:c>
      <x:c r="P115" s="31"/>
      <x:c r="Q115" s="31" t="str">
        <x:v>Remote contract</x:v>
      </x:c>
      <x:c r="R115" s="31" t="str">
        <x:v>Not stated</x:v>
      </x:c>
      <x:c r="S115" s="31" t="str">
        <x:v>Low</x:v>
      </x:c>
      <x:c r="T115" s="31" t="str">
        <x:v>AWS and data-pipeline experience overlap partially, but the role requires strong hands-on Glue, Spark, Iceberg, Polaris, Snowflake, IAM and AWS networking experience not shown in the resume.</x:v>
      </x:c>
      <x:c r="U115" s="31" t="str">
        <x:v>Not used</x:v>
      </x:c>
      <x:c r="V115" s="31" t="str">
        <x:v>None</x:v>
      </x:c>
      <x:c r="W115" s="31" t="str">
        <x:v>Halted after full description review because it is a contract role, contrary to the candidate's preference, and the specialized open-data-platform stack is not a realistic match.</x:v>
      </x:c>
    </x:row>
    <x:row r="116">
      <x:c r="A116" s="28" t="str">
        <x:v>TalentHop client (undisclosed retail company)</x:v>
      </x:c>
      <x:c r="B116" s="28" t="str">
        <x:v>Software Engineer II (Remote)</x:v>
      </x:c>
      <x:c r="C116" s="28" t="str">
        <x:v>https://www.linkedin.com/jobs/view/4461887155/</x:v>
      </x:c>
      <x:c r="D116" s="28" t="str">
        <x:v>Not exposed by intermediary listing</x:v>
      </x:c>
      <x:c r="E116" s="29" t="str">
        <x:v>2026-09-07</x:v>
      </x:c>
      <x:c r="F116" s="29" t="str">
        <x:v>2026-09-07</x:v>
      </x:c>
      <x:c r="G116" s="29"/>
      <x:c r="H116" s="29"/>
      <x:c r="I116" s="28" t="str">
        <x:v>Halted</x:v>
      </x:c>
      <x:c r="J116" s="30" t="n">
        <x:v>90000</x:v>
      </x:c>
      <x:c r="K116" s="30" t="n">
        <x:v>170000</x:v>
      </x:c>
      <x:c r="L116" s="28" t="str">
        <x:v>15-1252</x:v>
      </x:c>
      <x:c r="M116" s="28" t="str">
        <x:v>Software Developers</x:v>
      </x:c>
      <x:c r="N116" s="31" t="str">
        <x:v>Remote worksite and employer are undisclosed, so the applicable wage area cannot be fixed. The range could clear Level 1 in some locations but not in high-wage markets; an official employer worksite and offer are required.</x:v>
      </x:c>
      <x:c r="O116" s="31" t="str">
        <x:v>Remote from Massachusetts if employer permits</x:v>
      </x:c>
      <x:c r="P116" s="31"/>
      <x:c r="Q116" s="31" t="str">
        <x:v>Remote</x:v>
      </x:c>
      <x:c r="R116" s="31" t="str">
        <x:v>Not stated; employer identity is withheld by TalentHop.</x:v>
      </x:c>
      <x:c r="S116" s="31" t="str">
        <x:v>Strong technical fit; employer verification pending</x:v>
      </x:c>
      <x:c r="T116" s="31" t="str">
        <x:v>The 1-3 year band and SQL, Java, JavaScript/TypeScript, relational/NoSQL databases, cloud, CI/CD, microservices, testing, monitoring and production-resilience responsibilities align well.</x:v>
      </x:c>
      <x:c r="U116" s="31" t="str">
        <x:v>Not used</x:v>
      </x:c>
      <x:c r="V116" s="31" t="str">
        <x:v>None from candidate; authoritative employer and application URL must be identified before applying.</x:v>
      </x:c>
      <x:c r="W116" s="31" t="str">
        <x:v>Full intermediary description reviewed. Kept as Discovered rather than applying because TalentHop is not the employer of record and the actual retail employer, worksite and sponsorship policy are not disclosed.</x:v>
      </x:c>
    </x:row>
    <x:row r="117">
      <x:c r="A117" s="28" t="str">
        <x:v>Coworked Harmony</x:v>
      </x:c>
      <x:c r="B117" s="28" t="str">
        <x:v>Forward Deployed Engineer (FDE)</x:v>
      </x:c>
      <x:c r="C117" s="28" t="str">
        <x:v>https://www.linkedin.com/jobs/view/4461887177/</x:v>
      </x:c>
      <x:c r="D117" s="28" t="str">
        <x:v>LinkedIn application entry only</x:v>
      </x:c>
      <x:c r="E117" s="29" t="str">
        <x:v>2026-09-07</x:v>
      </x:c>
      <x:c r="F117" s="29" t="str">
        <x:v>2026-09-07</x:v>
      </x:c>
      <x:c r="G117" s="29"/>
      <x:c r="H117" s="29"/>
      <x:c r="I117" s="28" t="str">
        <x:v>Halted</x:v>
      </x:c>
      <x:c r="J117" s="30"/>
      <x:c r="K117" s="30"/>
      <x:c r="L117" s="28" t="str">
        <x:v>13-1082</x:v>
      </x:c>
      <x:c r="M117" s="28" t="str">
        <x:v>Project Management Specialists</x:v>
      </x:c>
      <x:c r="N117" s="31" t="str">
        <x:v>Compensation is described only as competitive and location-calibrated; the remote worksite is unspecified, so no defensible wage-level comparison is possible.</x:v>
      </x:c>
      <x:c r="O117" s="31" t="str">
        <x:v>Remote U.S.</x:v>
      </x:c>
      <x:c r="P117" s="31"/>
      <x:c r="Q117" s="31" t="str">
        <x:v>Remote with 20-50% customer travel</x:v>
      </x:c>
      <x:c r="R117" s="31" t="str">
        <x:v>Not stated</x:v>
      </x:c>
      <x:c r="S117" s="31" t="str">
        <x:v>Low</x:v>
      </x:c>
      <x:c r="T117" s="31" t="str">
        <x:v>AI-agent familiarity overlaps, but this is primarily enterprise PMO discovery, implementation, training, documentation and customer deployment. It requires 3-5 years in customer-facing enterprise delivery and technical project management/PMP-style experience.</x:v>
      </x:c>
      <x:c r="U117" s="31" t="str">
        <x:v>Not used</x:v>
      </x:c>
      <x:c r="V117" s="31" t="str">
        <x:v>None</x:v>
      </x:c>
      <x:c r="W117" s="31" t="str">
        <x:v>Halted after full description review because the role is not software engineering, exceeds the experience profile, and requires 20-50% travel.</x:v>
      </x:c>
    </x:row>
    <x:row r="118">
      <x:c r="A118" s="28" t="str">
        <x:v>Google</x:v>
      </x:c>
      <x:c r="B118" s="28" t="str">
        <x:v>Software Engineer, Mobile Performance</x:v>
      </x:c>
      <x:c r="C118" s="28" t="str">
        <x:v>https://www.linkedin.com/jobs/view/4462908992/</x:v>
      </x:c>
      <x:c r="D118" s="28" t="str">
        <x:v>Google Careers application entry via LinkedIn</x:v>
      </x:c>
      <x:c r="E118" s="29" t="str">
        <x:v>2026-09-07</x:v>
      </x:c>
      <x:c r="F118" s="29" t="str">
        <x:v>2026-09-07</x:v>
      </x:c>
      <x:c r="G118" s="29"/>
      <x:c r="H118" s="29"/>
      <x:c r="I118" s="28" t="str">
        <x:v>Halted</x:v>
      </x:c>
      <x:c r="J118" s="30" t="n">
        <x:v>174000</x:v>
      </x:c>
      <x:c r="K118" s="30" t="n">
        <x:v>252000</x:v>
      </x:c>
      <x:c r="L118" s="28" t="str">
        <x:v>15-1252</x:v>
      </x:c>
      <x:c r="M118" s="28" t="str">
        <x:v>Software Developers</x:v>
      </x:c>
      <x:c r="N118" s="31" t="str">
        <x:v>San Jose Level 1 is $152,797, Level 2 $187,075, Level 3 $221,374 and Level 4 $255,653. The full range clears Level 1; most clears Level 2 and the upper portion clears Level 3.</x:v>
      </x:c>
      <x:c r="O118" s="31" t="str">
        <x:v>Kirkland, WA would be wage-favorable; San Jose, CA is listed</x:v>
      </x:c>
      <x:c r="P118" s="31" t="str">
        <x:v>Kirkland, WA</x:v>
      </x:c>
      <x:c r="Q118" s="31" t="str">
        <x:v>On-site/location based</x:v>
      </x:c>
      <x:c r="R118" s="31" t="str">
        <x:v>Not stated in the posting; Google sponsorship history does not override requisition requirements.</x:v>
      </x:c>
      <x:c r="S118" s="31" t="str">
        <x:v>Low</x:v>
      </x:c>
      <x:c r="T118" s="31" t="str">
        <x:v>The role requires five years of experience, Android OS/framework development, compiler/runtime/program analysis, systems programming in C++, and software architecture. These are not supported by the resume.</x:v>
      </x:c>
      <x:c r="U118" s="31" t="str">
        <x:v>Not used</x:v>
      </x:c>
      <x:c r="V118" s="31" t="str">
        <x:v>None</x:v>
      </x:c>
      <x:c r="W118" s="31" t="str">
        <x:v>Halted after full LinkedIn description review because the seniority and specialized Android/compiler/C++ requirements are not realistic.</x:v>
      </x:c>
    </x:row>
    <x:row r="119">
      <x:c r="A119" s="28" t="str">
        <x:v>Zel Technologies LLC</x:v>
      </x:c>
      <x:c r="B119" s="28" t="str">
        <x:v>Software Engineer Full Stack (Mid-Level)</x:v>
      </x:c>
      <x:c r="C119" s="28" t="str">
        <x:v>https://www.linkedin.com/jobs/view/4464090397/</x:v>
      </x:c>
      <x:c r="D119" s="28" t="str">
        <x:v>Not pursued</x:v>
      </x:c>
      <x:c r="E119" s="29" t="str">
        <x:v>2026-09-07</x:v>
      </x:c>
      <x:c r="F119" s="29" t="str">
        <x:v>2026-09-07</x:v>
      </x:c>
      <x:c r="G119" s="29"/>
      <x:c r="H119" s="29"/>
      <x:c r="I119" s="28" t="str">
        <x:v>Halted</x:v>
      </x:c>
      <x:c r="J119" s="30"/>
      <x:c r="K119" s="30"/>
      <x:c r="L119" s="28" t="str">
        <x:v>15-1252</x:v>
      </x:c>
      <x:c r="M119" s="28" t="str">
        <x:v>Software Developers</x:v>
      </x:c>
      <x:c r="N119" s="31" t="str">
        <x:v>Salary is undisclosed; wage compatibility cannot be assessed. Eligibility independently fails because U.S. citizenship and a current TS/SCI clearance are mandatory.</x:v>
      </x:c>
      <x:c r="O119" s="31" t="str">
        <x:v>McLean or Charlottesville, VA</x:v>
      </x:c>
      <x:c r="P119" s="31"/>
      <x:c r="Q119" s="31" t="str">
        <x:v>On-site; contingent on contract award</x:v>
      </x:c>
      <x:c r="R119" s="31" t="str">
        <x:v>Incompatible: U.S. citizenship and current TS/SCI clearance are mandatory.</x:v>
      </x:c>
      <x:c r="S119" s="31" t="str">
        <x:v>Ineligible</x:v>
      </x:c>
      <x:c r="T119" s="31" t="str">
        <x:v>Requires five years of full-stack experience and current TS/SCI clearance for national-security work.</x:v>
      </x:c>
      <x:c r="U119" s="31" t="str">
        <x:v>Not used</x:v>
      </x:c>
      <x:c r="V119" s="31" t="str">
        <x:v>None</x:v>
      </x:c>
      <x:c r="W119" s="31" t="str">
        <x:v>Halted immediately after full description review due to citizenship, active-clearance and five-year experience requirements.</x:v>
      </x:c>
    </x:row>
    <x:row r="120">
      <x:c r="A120" s="28" t="str">
        <x:v>CodeRound AI client (undisclosed seed-stage AI startup)</x:v>
      </x:c>
      <x:c r="B120" s="28" t="str">
        <x:v>Forward Deployed Engineer ($170K-$220K)</x:v>
      </x:c>
      <x:c r="C120" s="28" t="str">
        <x:v>https://www.linkedin.com/jobs/view/4461886188/</x:v>
      </x:c>
      <x:c r="D120" s="28" t="str">
        <x:v>CodeRound AI intermediary application</x:v>
      </x:c>
      <x:c r="E120" s="29" t="str">
        <x:v>2026-09-07</x:v>
      </x:c>
      <x:c r="F120" s="29" t="str">
        <x:v>2026-09-07</x:v>
      </x:c>
      <x:c r="G120" s="29"/>
      <x:c r="H120" s="29"/>
      <x:c r="I120" s="28" t="str">
        <x:v>Halted</x:v>
      </x:c>
      <x:c r="J120" s="30" t="n">
        <x:v>170000</x:v>
      </x:c>
      <x:c r="K120" s="30" t="n">
        <x:v>220000</x:v>
      </x:c>
      <x:c r="L120" s="28" t="str">
        <x:v>15-1252</x:v>
      </x:c>
      <x:c r="M120" s="28" t="str">
        <x:v>Software Developers</x:v>
      </x:c>
      <x:c r="N120" s="31" t="str">
        <x:v>NYC Level 1 is $109,845, Level 2 $137,717, Level 3 $165,589 and Level 4 $193,461. The full range clears Level 3 and compensation from $193,461 clears Level 4.</x:v>
      </x:c>
      <x:c r="O120" s="31" t="str">
        <x:v>New York City metropolitan area</x:v>
      </x:c>
      <x:c r="P120" s="31"/>
      <x:c r="Q120" s="31" t="str">
        <x:v>On-site</x:v>
      </x:c>
      <x:c r="R120" s="31" t="str">
        <x:v>Not stated; actual client company is undisclosed.</x:v>
      </x:c>
      <x:c r="S120" s="31" t="str">
        <x:v>Technically strong but experience-ineligible</x:v>
      </x:c>
      <x:c r="T120" s="31" t="str">
        <x:v>Customer-facing AI integrations, APIs, automation and production deployment align, but the posting explicitly requires 3+ years of professional experience after the candidate's last degree. The candidate is still completing the master's degree and does not meet this condition.</x:v>
      </x:c>
      <x:c r="U120" s="31" t="str">
        <x:v>Not used</x:v>
      </x:c>
      <x:c r="V120" s="31" t="str">
        <x:v>None</x:v>
      </x:c>
      <x:c r="W120" s="31" t="str">
        <x:v>Halted after full description review because of the explicit three-years-after-last-degree requirement and undisclosed end employer.</x:v>
      </x:c>
    </x:row>
    <x:row r="121">
      <x:c r="A121" s="28" t="str">
        <x:v>Alignerr</x:v>
      </x:c>
      <x:c r="B121" s="28" t="str">
        <x:v>Lua Programmer</x:v>
      </x:c>
      <x:c r="C121" s="28" t="str">
        <x:v>https://www.linkedin.com/jobs/view/4462734513/</x:v>
      </x:c>
      <x:c r="D121" s="28" t="str">
        <x:v>LinkedIn external application entry</x:v>
      </x:c>
      <x:c r="E121" s="29" t="str">
        <x:v>2026-09-07 (reposted)</x:v>
      </x:c>
      <x:c r="F121" s="29" t="str">
        <x:v>2026-09-07</x:v>
      </x:c>
      <x:c r="G121" s="29"/>
      <x:c r="H121" s="29"/>
      <x:c r="I121" s="28" t="str">
        <x:v>Halted</x:v>
      </x:c>
      <x:c r="J121" s="30" t="n">
        <x:v>104000</x:v>
      </x:c>
      <x:c r="K121" s="30" t="n">
        <x:v>135200</x:v>
      </x:c>
      <x:c r="L121" s="28" t="str">
        <x:v>15-1252</x:v>
      </x:c>
      <x:c r="M121" s="28" t="str">
        <x:v>Software Developers</x:v>
      </x:c>
      <x:c r="N121" s="31" t="str">
        <x:v>$50-$65/hour annualizes to roughly $104,000-$135,200 at 2,080 hours, but the remote worksite is unspecified. It is a contract role and therefore outside the candidate's current search preference.</x:v>
      </x:c>
      <x:c r="O121" s="31" t="str">
        <x:v>Remote U.S.</x:v>
      </x:c>
      <x:c r="P121" s="31"/>
      <x:c r="Q121" s="31" t="str">
        <x:v>Remote contract</x:v>
      </x:c>
      <x:c r="R121" s="31" t="str">
        <x:v>Not stated</x:v>
      </x:c>
      <x:c r="S121" s="31" t="str">
        <x:v>Low</x:v>
      </x:c>
      <x:c r="T121" s="31" t="str">
        <x:v>No Lua experience is documented, the listing exposes no substantive job description, and the role is contract-based.</x:v>
      </x:c>
      <x:c r="U121" s="31" t="str">
        <x:v>Not used</x:v>
      </x:c>
      <x:c r="V121" s="31" t="str">
        <x:v>None</x:v>
      </x:c>
      <x:c r="W121" s="31" t="str">
        <x:v>Halted because the candidate does not want contract roles, lacks documented Lua experience, and the full responsibilities/qualifications are unavailable.</x:v>
      </x:c>
    </x:row>
    <x:row r="122">
      <x:c r="A122" s="28" t="str">
        <x:v>Zel Technologies LLC / City of Virginia Beach</x:v>
      </x:c>
      <x:c r="B122" s="28" t="str">
        <x:v>AI Platform Developer VBP</x:v>
      </x:c>
      <x:c r="C122" s="28" t="str">
        <x:v>https://www.linkedin.com/jobs/view/4464092359/</x:v>
      </x:c>
      <x:c r="D122" s="28" t="str">
        <x:v>Not pursued</x:v>
      </x:c>
      <x:c r="E122" s="29" t="str">
        <x:v>2026-09-07</x:v>
      </x:c>
      <x:c r="F122" s="29" t="str">
        <x:v>2026-09-07</x:v>
      </x:c>
      <x:c r="G122" s="29"/>
      <x:c r="H122" s="29"/>
      <x:c r="I122" s="28" t="str">
        <x:v>Halted</x:v>
      </x:c>
      <x:c r="J122" s="30"/>
      <x:c r="K122" s="30"/>
      <x:c r="L122" s="28" t="str">
        <x:v>15-2051</x:v>
      </x:c>
      <x:c r="M122" s="28" t="str">
        <x:v>Data Scientists</x:v>
      </x:c>
      <x:c r="N122" s="31" t="str">
        <x:v>Compensation is undisclosed, so wage compatibility cannot be assessed. Eligibility independently fails because U.S. citizenship is mandatory.</x:v>
      </x:c>
      <x:c r="O122" s="31" t="str">
        <x:v>Virginia Beach, VA</x:v>
      </x:c>
      <x:c r="P122" s="31"/>
      <x:c r="Q122" s="31" t="str">
        <x:v>On-site or hybrid; contingent on contract award</x:v>
      </x:c>
      <x:c r="R122" s="31" t="str">
        <x:v>Incompatible: U.S. citizenship is explicitly required.</x:v>
      </x:c>
      <x:c r="S122" s="31" t="str">
        <x:v>Ineligible</x:v>
      </x:c>
      <x:c r="T122" s="31" t="str">
        <x:v>Python, SQL, APIs, cloud AI and responsible-AI work overlap, but the role requires U.S. citizenship, 3-5+ years of relevant experience, and deeper TensorFlow/PyTorch/model-training experience.</x:v>
      </x:c>
      <x:c r="U122" s="31" t="str">
        <x:v>Not used</x:v>
      </x:c>
      <x:c r="V122" s="31" t="str">
        <x:v>None</x:v>
      </x:c>
      <x:c r="W122" s="31" t="str">
        <x:v>Halted immediately after full description review because of citizenship and experience requirements.</x:v>
      </x:c>
    </x:row>
    <x:row r="123">
      <x:c r="A123" s="28" t="str">
        <x:v>Tokyo Electron US</x:v>
      </x:c>
      <x:c r="B123" s="28" t="str">
        <x:v>Data Platforms Engineer Summer 2027 Intern</x:v>
      </x:c>
      <x:c r="C123" s="28" t="str">
        <x:v>https://www.linkedin.com/jobs/view/4464307176/</x:v>
      </x:c>
      <x:c r="D123" s="28" t="str">
        <x:v>Tokyo Electron careers application via LinkedIn</x:v>
      </x:c>
      <x:c r="E123" s="29" t="str">
        <x:v>2026-09-07</x:v>
      </x:c>
      <x:c r="F123" s="29" t="str">
        <x:v>2026-09-07</x:v>
      </x:c>
      <x:c r="G123" s="29"/>
      <x:c r="H123" s="29"/>
      <x:c r="I123" s="28" t="str">
        <x:v>Halted</x:v>
      </x:c>
      <x:c r="J123" s="30"/>
      <x:c r="K123" s="30"/>
      <x:c r="L123" s="28" t="str">
        <x:v>15-1243</x:v>
      </x:c>
      <x:c r="M123" s="28" t="str">
        <x:v>Database Architects / Data Engineering</x:v>
      </x:c>
      <x:c r="N123" s="31" t="str">
        <x:v>Intern compensation is not disclosed. No wage comparison is possible, and the role is scheduled after the candidate's December 2026 graduation.</x:v>
      </x:c>
      <x:c r="O123" s="31" t="str">
        <x:v>Austin, TX</x:v>
      </x:c>
      <x:c r="P123" s="31"/>
      <x:c r="Q123" s="31" t="str">
        <x:v>On-site internship, May 17-August 20, 2027</x:v>
      </x:c>
      <x:c r="R123" s="31" t="str">
        <x:v>Not stated</x:v>
      </x:c>
      <x:c r="S123" s="31" t="str">
        <x:v>Strong technical fit; enrollment mismatch</x:v>
      </x:c>
      <x:c r="T123" s="31" t="str">
        <x:v>Python, SQL, pipelines, cloud, testing and orchestration align, but applicants must be pursuing a degree during the Summer 2027 internship. The candidate is expected to graduate in December 2026.</x:v>
      </x:c>
      <x:c r="U123" s="31" t="str">
        <x:v>Not used</x:v>
      </x:c>
      <x:c r="V123" s="31" t="str">
        <x:v>None</x:v>
      </x:c>
      <x:c r="W123" s="31" t="str">
        <x:v>Halted after full description review because the required student status conflicts with the candidate's graduation date.</x:v>
      </x:c>
    </x:row>
    <x:row r="124">
      <x:c r="A124" s="28" t="str">
        <x:v>Acceler8 Talent client (undisclosed UK-founded defense AI company)</x:v>
      </x:c>
      <x:c r="B124" s="28" t="str">
        <x:v>Senior Full Stack Engineer</x:v>
      </x:c>
      <x:c r="C124" s="28" t="str">
        <x:v>https://www.linkedin.com/jobs/view/4461882232/</x:v>
      </x:c>
      <x:c r="D124" s="28" t="str">
        <x:v>Acceler8 Talent intermediary application</x:v>
      </x:c>
      <x:c r="E124" s="29" t="str">
        <x:v>2026-09-07</x:v>
      </x:c>
      <x:c r="F124" s="29" t="str">
        <x:v>2026-09-07</x:v>
      </x:c>
      <x:c r="G124" s="29"/>
      <x:c r="H124" s="29"/>
      <x:c r="I124" s="28" t="str">
        <x:v>Halted</x:v>
      </x:c>
      <x:c r="J124" s="30" t="n">
        <x:v>140000</x:v>
      </x:c>
      <x:c r="K124" s="30" t="n">
        <x:v>200000</x:v>
      </x:c>
      <x:c r="L124" s="28" t="str">
        <x:v>15-1252</x:v>
      </x:c>
      <x:c r="M124" s="28" t="str">
        <x:v>Software Developers</x:v>
      </x:c>
      <x:c r="N124" s="31" t="str">
        <x:v>Virginia salary is $140,000-$200,000 and would likely clear lower software-developer wage levels, but eligibility independently fails because U.S. citizenship and security-clearance eligibility are mandatory.</x:v>
      </x:c>
      <x:c r="O124" s="31" t="str">
        <x:v>Virginia / near Herndon</x:v>
      </x:c>
      <x:c r="P124" s="31"/>
      <x:c r="Q124" s="31" t="str">
        <x:v>Primarily remote with access to Herndon required</x:v>
      </x:c>
      <x:c r="R124" s="31" t="str">
        <x:v>Incompatible: U.S. citizenship and eligibility to obtain a security clearance are explicitly required.</x:v>
      </x:c>
      <x:c r="S124" s="31" t="str">
        <x:v>Ineligible</x:v>
      </x:c>
      <x:c r="T124" s="31" t="str">
        <x:v>Python, React/Vue, data and AI tooling overlap, but this is a senior defense/intelligence role requiring U.S. citizenship and clearance eligibility.</x:v>
      </x:c>
      <x:c r="U124" s="31" t="str">
        <x:v>Not used</x:v>
      </x:c>
      <x:c r="V124" s="31" t="str">
        <x:v>None</x:v>
      </x:c>
      <x:c r="W124" s="31" t="str">
        <x:v>Halted after full description review due to citizenship/clearance requirements and senior scope.</x:v>
      </x:c>
    </x:row>
    <x:row r="125">
      <x:c r="A125" s="28" t="str">
        <x:v>Soni</x:v>
      </x:c>
      <x:c r="B125" s="28" t="str">
        <x:v>Application Developer (Java / Angular / Cloud)</x:v>
      </x:c>
      <x:c r="C125" s="28" t="str">
        <x:v>https://www.linkedin.com/jobs/view/4449942369/</x:v>
      </x:c>
      <x:c r="D125" s="28" t="str">
        <x:v>Not exposed</x:v>
      </x:c>
      <x:c r="E125" s="29" t="str">
        <x:v>2026-09-07 (reposted)</x:v>
      </x:c>
      <x:c r="F125" s="29" t="str">
        <x:v>2026-09-07</x:v>
      </x:c>
      <x:c r="G125" s="29"/>
      <x:c r="H125" s="29"/>
      <x:c r="I125" s="28" t="str">
        <x:v>Halted</x:v>
      </x:c>
      <x:c r="J125" s="30"/>
      <x:c r="K125" s="30"/>
      <x:c r="L125" s="28" t="str">
        <x:v>15-1252</x:v>
      </x:c>
      <x:c r="M125" s="28" t="str">
        <x:v>Software Developers</x:v>
      </x:c>
      <x:c r="N125" s="31" t="str">
        <x:v>Salary is undisclosed; no wage-level comparison can be made.</x:v>
      </x:c>
      <x:c r="O125" s="31" t="str">
        <x:v>Audubon, PA</x:v>
      </x:c>
      <x:c r="P125" s="31"/>
      <x:c r="Q125" s="31" t="str">
        <x:v>On-site</x:v>
      </x:c>
      <x:c r="R125" s="31" t="str">
        <x:v>Not stated</x:v>
      </x:c>
      <x:c r="S125" s="31" t="str">
        <x:v>Unverifiable</x:v>
      </x:c>
      <x:c r="T125" s="31" t="str">
        <x:v>Java and cloud are relevant, but LinkedIn exposes no responsibilities, qualifications, salary or experience requirements for this repost.</x:v>
      </x:c>
      <x:c r="U125" s="31" t="str">
        <x:v>Not used</x:v>
      </x:c>
      <x:c r="V125" s="31" t="str">
        <x:v>None</x:v>
      </x:c>
      <x:c r="W125" s="31" t="str">
        <x:v>Halted because the full job description and official application URL are unavailable, preventing a defensible fit and sponsorship evaluation.</x:v>
      </x:c>
    </x:row>
    <x:row r="126">
      <x:c r="A126" s="28" t="str">
        <x:v>Interfere</x:v>
      </x:c>
      <x:c r="B126" s="28" t="str">
        <x:v>Software Engineer, AI/ML</x:v>
      </x:c>
      <x:c r="C126" s="28" t="str">
        <x:v>Not yet located; official Ashby opening verified</x:v>
      </x:c>
      <x:c r="D126" s="28" t="str">
        <x:v>https://jobs.ashbyhq.com/interfere/2b33c914-e6f7-44a4-9859-e996da7f4e87/application</x:v>
      </x:c>
      <x:c r="E126" s="29" t="str">
        <x:v>Current opening; official page indexed within the last week</x:v>
      </x:c>
      <x:c r="F126" s="29" t="str">
        <x:v>2026-09-07</x:v>
      </x:c>
      <x:c r="G126" s="29" t="str">
        <x:v>2026-09-09</x:v>
      </x:c>
      <x:c r="H126" s="29" t="str">
        <x:v>2026-09-09</x:v>
      </x:c>
      <x:c r="I126" s="28" t="str">
        <x:v>Submitted</x:v>
      </x:c>
      <x:c r="J126" s="30" t="n">
        <x:v>160000</x:v>
      </x:c>
      <x:c r="K126" s="30" t="n">
        <x:v>250000</x:v>
      </x:c>
      <x:c r="L126" s="28" t="str">
        <x:v>15-2051</x:v>
      </x:c>
      <x:c r="M126" s="28" t="str">
        <x:v>Data Scientists / Applied AI Engineering</x:v>
      </x:c>
      <x:c r="N126" s="31" t="str">
        <x:v>Using NYC software-developer levels as a conservative engineering benchmark, $160,000 clears Level 2 ($137,717); compensation from $165,589 clears Level 3 and from $193,461 clears Level 4. The range extends to $250,000.</x:v>
      </x:c>
      <x:c r="O126" s="31" t="str">
        <x:v>New York, NY</x:v>
      </x:c>
      <x:c r="P126" s="31"/>
      <x:c r="Q126" s="31" t="str">
        <x:v>Fully on-site; serious-hours startup culture disclosed</x:v>
      </x:c>
      <x:c r="R126" s="31" t="str">
        <x:v>Official posting explicitly offers visa sponsorship for exceptional international candidates and relocation assistance to New York.</x:v>
      </x:c>
      <x:c r="S126" s="31" t="str">
        <x:v>Exceptional</x:v>
      </x:c>
      <x:c r="T126" s="31" t="str">
        <x:v>Near-direct match to production LLM systems, agents, tool use, browser/web research, model routing, evals, datasets, observability, RAG, retrieval/indexing, context engineering, anomaly detection, Python services, rapid prototyping and zero-to-one ownership. Resume evidence includes 47 APIs, 10+ evaluated models, cloud GPU deployment and 300K-document NLP research.</x:v>
      </x:c>
      <x:c r="U126" s="31" t="str">
        <x:v>Yuxuan_Chen_Resume_Giga_Software_Engineer_AI_Agents_20260907.pdf</x:v>
      </x:c>
      <x:c r="V126" s="31" t="str">
        <x:v>None</x:v>
      </x:c>
      <x:c r="W126" s="31" t="str">
        <x:v>Submitted successfully through the official Ashby form on 2026-09-09. Official confirmation: Your application was successfully submitted. Future sponsorship Yes, current authorization Yes, and quantified evidence from the resume included.</x:v>
      </x:c>
    </x:row>
    <x:row r="127">
      <x:c r="A127" s="28" t="str">
        <x:v>Interfere</x:v>
      </x:c>
      <x:c r="B127" s="28" t="str">
        <x:v>Software Engineer, Data</x:v>
      </x:c>
      <x:c r="C127" s="28" t="str">
        <x:v>Not yet located; official Ashby opening verified</x:v>
      </x:c>
      <x:c r="D127" s="28" t="str">
        <x:v>https://jobs.ashbyhq.com/interfere/f09a5246-a6d7-4de4-8556-e2e8f23f7420/application</x:v>
      </x:c>
      <x:c r="E127" s="29" t="str">
        <x:v>Current opening; official page indexed within the last week</x:v>
      </x:c>
      <x:c r="F127" s="29" t="str">
        <x:v>2026-09-07</x:v>
      </x:c>
      <x:c r="G127" s="29" t="str">
        <x:v>2026-09-09</x:v>
      </x:c>
      <x:c r="H127" s="29" t="str">
        <x:v>2026-09-09</x:v>
      </x:c>
      <x:c r="I127" s="28" t="str">
        <x:v>Submitted</x:v>
      </x:c>
      <x:c r="J127" s="30" t="n">
        <x:v>160000</x:v>
      </x:c>
      <x:c r="K127" s="30" t="n">
        <x:v>250000</x:v>
      </x:c>
      <x:c r="L127" s="28" t="str">
        <x:v>15-1243</x:v>
      </x:c>
      <x:c r="M127" s="28" t="str">
        <x:v>Database Architects / Data Engineering</x:v>
      </x:c>
      <x:c r="N127" s="31" t="str">
        <x:v>Using NYC software-developer levels as a conservative benchmark, $160,000 clears Level 2 ($137,717), compensation from $165,589 clears Level 3, and compensation from $193,461 clears Level 4. Exact formal comparison depends on the employer-selected data-engineering SOC.</x:v>
      </x:c>
      <x:c r="O127" s="31" t="str">
        <x:v>New York, NY</x:v>
      </x:c>
      <x:c r="P127" s="31"/>
      <x:c r="Q127" s="31" t="str">
        <x:v>Fully on-site; serious-hours startup culture disclosed</x:v>
      </x:c>
      <x:c r="R127" s="31" t="str">
        <x:v>Official posting explicitly offers visa sponsorship for exceptional international candidates and relocation assistance to New York.</x:v>
      </x:c>
      <x:c r="S127" s="31" t="str">
        <x:v>Strong stretch</x:v>
      </x:c>
      <x:c r="T127" s="31" t="str">
        <x:v>Direct overlap with Python, SQL/PostgreSQL, large data corpora, pipelines, retrieval/indexing, vector context, cloud deployment, observability, APIs and zero-to-one platform work. The primary gap is operating billion-event, high-throughput streaming infrastructure and ClickHouse/Kafka/Flink-scale systems in production.</x:v>
      </x:c>
      <x:c r="U127" s="31" t="str">
        <x:v>Yuxuan_Chen_Resume_Giga_Software_Engineer_AI_Agents_20260907.pdf</x:v>
      </x:c>
      <x:c r="V127" s="31" t="str">
        <x:v>None</x:v>
      </x:c>
      <x:c r="W127" s="31" t="str">
        <x:v>Submitted successfully through the official Ashby form on 2026-09-09. Official success confirmation received; sponsorship Yes and current authorization Yes.</x:v>
      </x:c>
    </x:row>
    <x:row r="128">
      <x:c r="A128" s="28" t="str">
        <x:v>Interfere</x:v>
      </x:c>
      <x:c r="B128" s="28" t="str">
        <x:v>Founding Product Engineer</x:v>
      </x:c>
      <x:c r="C128" s="28" t="str">
        <x:v>Not yet located; official Ashby opening verified</x:v>
      </x:c>
      <x:c r="D128" s="28" t="str">
        <x:v>https://jobs.ashbyhq.com/interfere/d0c9fdff-e628-45e4-8739-69fef487df4b/application</x:v>
      </x:c>
      <x:c r="E128" s="29" t="str">
        <x:v>Current opening</x:v>
      </x:c>
      <x:c r="F128" s="29" t="str">
        <x:v>2026-09-07</x:v>
      </x:c>
      <x:c r="G128" s="29" t="str">
        <x:v>2026-09-09</x:v>
      </x:c>
      <x:c r="H128" s="29" t="str">
        <x:v>2026-09-09</x:v>
      </x:c>
      <x:c r="I128" s="28" t="str">
        <x:v>Submitted</x:v>
      </x:c>
      <x:c r="J128" s="30" t="n">
        <x:v>150000</x:v>
      </x:c>
      <x:c r="K128" s="30" t="n">
        <x:v>250000</x:v>
      </x:c>
      <x:c r="L128" s="28" t="str">
        <x:v>15-1252</x:v>
      </x:c>
      <x:c r="M128" s="28" t="str">
        <x:v>Software Developers</x:v>
      </x:c>
      <x:c r="N128" s="31" t="str">
        <x:v>NYC Level 1 is $109,845, Level 2 $137,717, Level 3 $165,589 and Level 4 $193,461. The full $150,000-$250,000 range clears Level 2; compensation from $165,589 clears Level 3 and from $193,461 clears Level 4.</x:v>
      </x:c>
      <x:c r="O128" s="31" t="str">
        <x:v>New York, NY</x:v>
      </x:c>
      <x:c r="P128" s="31"/>
      <x:c r="Q128" s="31" t="str">
        <x:v>Fully on-site; high-ownership startup culture</x:v>
      </x:c>
      <x:c r="R128" s="31" t="str">
        <x:v>Official posting explicitly offers visa sponsorship for exceptional international candidates and relocation assistance to New York.</x:v>
      </x:c>
      <x:c r="S128" s="31" t="str">
        <x:v>Exceptional</x:v>
      </x:c>
      <x:c r="T128" s="31" t="str">
        <x:v>Direct match to end-to-end full-stack ownership, TypeScript, React, Node, APIs, developer-facing interfaces, agentic workflows, runtime/browser diagnostics, production LLM features, data models, observability and zero-to-one product systems. The 47-API GEO platform is a strong portfolio signal.</x:v>
      </x:c>
      <x:c r="U128" s="31" t="str">
        <x:v>Yuxuan_Chen_Resume_Giga_Software_Engineer_AI_Agents_20260907.pdf</x:v>
      </x:c>
      <x:c r="V128" s="31" t="str">
        <x:v>None</x:v>
      </x:c>
      <x:c r="W128" s="31" t="str">
        <x:v>Submitted successfully through the official Ashby form on 2026-09-09. Official success confirmation received; sponsorship Yes and current authorization Yes.</x:v>
      </x:c>
    </x:row>
    <x:row r="129">
      <x:c r="A129" s="28" t="str">
        <x:v>Spectral Labs</x:v>
      </x:c>
      <x:c r="B129" s="28" t="str">
        <x:v>Engineer, New Grad</x:v>
      </x:c>
      <x:c r="C129" s="28" t="str">
        <x:v>Not captured; official Ashby opening verified</x:v>
      </x:c>
      <x:c r="D129" s="28" t="str">
        <x:v>https://jobs.ashbyhq.com/Spectral%20Labs/99c79fda-2125-4e09-9313-97e91b730d75/application</x:v>
      </x:c>
      <x:c r="E129" s="29" t="str">
        <x:v>Official page indexed approximately 3 days before discovery</x:v>
      </x:c>
      <x:c r="F129" s="29" t="str">
        <x:v>2026-09-07</x:v>
      </x:c>
      <x:c r="G129" s="29" t="str">
        <x:v>2026-09-09</x:v>
      </x:c>
      <x:c r="H129" s="29" t="str">
        <x:v>2026-09-09</x:v>
      </x:c>
      <x:c r="I129" s="28" t="str">
        <x:v>Submitted</x:v>
      </x:c>
      <x:c r="J129" s="30" t="n">
        <x:v>150000</x:v>
      </x:c>
      <x:c r="K129" s="30" t="n">
        <x:v>220000</x:v>
      </x:c>
      <x:c r="L129" s="28" t="str">
        <x:v>15-1252</x:v>
      </x:c>
      <x:c r="M129" s="28" t="str">
        <x:v>Software Developers</x:v>
      </x:c>
      <x:c r="N129" s="31" t="str">
        <x:v>San Francisco-Oakland-Fremont Level 1 is $137,093, Level 2 $165,131, Level 3 $193,149 and Level 4 $221,187. The full advertised range clears Level 1; $165,131 and above clears Level 2, and $193,149 and above clears Level 3.</x:v>
      </x:c>
      <x:c r="O129" s="31" t="str">
        <x:v>San Francisco, CA</x:v>
      </x:c>
      <x:c r="P129" s="31"/>
      <x:c r="Q129" s="31" t="str">
        <x:v>Fully on-site</x:v>
      </x:c>
      <x:c r="R129" s="31" t="str">
        <x:v>Official posting states full end-to-end visa sponsorship, prior sponsorship experience and dedicated immigration counsel.</x:v>
      </x:c>
      <x:c r="S129" s="31" t="str">
        <x:v>Strong technical stretch</x:v>
      </x:c>
      <x:c r="T129" s="31" t="str">
        <x:v>Excellent overlap with evaluation harnesses, model experiments, data pipelines, internal tooling, Python, Linux, Git, CUDA/cloud infrastructure and research. Gaps are graphics/geometry/C++, training generative models, and the posting preference for a high undergraduate GPA.</x:v>
      </x:c>
      <x:c r="U129" s="31" t="str">
        <x:v>Yuxuan_Chen_Resume_Giga_Software_Engineer_AI_Agents_20260907.pdf</x:v>
      </x:c>
      <x:c r="V129" s="31" t="str">
        <x:v>None</x:v>
      </x:c>
      <x:c r="W129" s="31" t="str">
        <x:v>Submitted successfully through the official Ashby form on 2026-09-09. Official confirmation: Your application was successfully submitted. Required undergraduate GPA 2.89 and future sponsorship were disclosed; GitHub and a role-specific motivation response were included.</x:v>
      </x:c>
    </x:row>
    <x:row r="130">
      <x:c r="A130" s="28" t="str">
        <x:v>Firetiger</x:v>
      </x:c>
      <x:c r="B130" s="28" t="str">
        <x:v>Product Engineer — New Grad</x:v>
      </x:c>
      <x:c r="C130" s="28" t="str">
        <x:v>Not captured; official Ashby opening verified</x:v>
      </x:c>
      <x:c r="D130" s="28" t="str">
        <x:v>https://jobs.ashbyhq.com/firetiger/a65c30a8-6bdb-4258-9d6a-5e6e90ff86e6/application</x:v>
      </x:c>
      <x:c r="E130" s="29" t="str">
        <x:v>Official page indexed approximately 1 day before discovery</x:v>
      </x:c>
      <x:c r="F130" s="29" t="str">
        <x:v>2026-09-07</x:v>
      </x:c>
      <x:c r="G130" s="29"/>
      <x:c r="H130" s="29"/>
      <x:c r="I130" s="28" t="str">
        <x:v>Halted</x:v>
      </x:c>
      <x:c r="J130" s="30" t="n">
        <x:v>120000</x:v>
      </x:c>
      <x:c r="K130" s="30" t="n">
        <x:v>120000</x:v>
      </x:c>
      <x:c r="L130" s="28" t="str">
        <x:v>15-1252</x:v>
      </x:c>
      <x:c r="M130" s="28" t="str">
        <x:v>Software Developers</x:v>
      </x:c>
      <x:c r="N130" s="31" t="str">
        <x:v>San Francisco Level 1 is $152,797. The stated $120,000 salary is $32,797 below Level 1 and does not satisfy the candidate's prevailing-wage prioritization rule.</x:v>
      </x:c>
      <x:c r="O130" s="31" t="str">
        <x:v>San Francisco, CA</x:v>
      </x:c>
      <x:c r="P130" s="31"/>
      <x:c r="Q130" s="31" t="str">
        <x:v>Fully in-person</x:v>
      </x:c>
      <x:c r="R130" s="31" t="str">
        <x:v>Official posting explicitly states visa sponsorship is available.</x:v>
      </x:c>
      <x:c r="S130" s="31" t="str">
        <x:v>Exceptional technical fit; wage incompatible</x:v>
      </x:c>
      <x:c r="T130" s="31" t="str">
        <x:v>Full-stack product engineering, data-heavy interfaces, developer tools, AI agents, LLMs and end-to-end projects align closely, but the fixed salary is materially below the local Level 1 benchmark.</x:v>
      </x:c>
      <x:c r="U130" s="31" t="str">
        <x:v>Not used</x:v>
      </x:c>
      <x:c r="V130" s="31" t="str">
        <x:v>None</x:v>
      </x:c>
      <x:c r="W130" s="31" t="str">
        <x:v>Deferred under the candidate's instruction to exhaust roles capable of reaching Level 1 before considering below-Level-1 positions.</x:v>
      </x:c>
    </x:row>
    <x:row r="131">
      <x:c r="A131" s="28" t="str">
        <x:v>Makai Labs</x:v>
      </x:c>
      <x:c r="B131" s="28" t="str">
        <x:v>Forward Deployed AI Analyst</x:v>
      </x:c>
      <x:c r="C131" s="28" t="str">
        <x:v>Not captured; official Ashby opening verified</x:v>
      </x:c>
      <x:c r="D131" s="28" t="str">
        <x:v>https://jobs.ashbyhq.com/makai-labs/3d4373e8-e09a-4034-a8e0-d511cef44fc7/application</x:v>
      </x:c>
      <x:c r="E131" s="29" t="str">
        <x:v>Official page indexed approximately 1 day before discovery</x:v>
      </x:c>
      <x:c r="F131" s="29" t="str">
        <x:v>2026-09-07</x:v>
      </x:c>
      <x:c r="G131" s="29"/>
      <x:c r="H131" s="29"/>
      <x:c r="I131" s="28" t="str">
        <x:v>Halted</x:v>
      </x:c>
      <x:c r="J131" s="30" t="n">
        <x:v>100000</x:v>
      </x:c>
      <x:c r="K131" s="30" t="n">
        <x:v>110000</x:v>
      </x:c>
      <x:c r="L131" s="28" t="str">
        <x:v>15-2051</x:v>
      </x:c>
      <x:c r="M131" s="28" t="str">
        <x:v>Data Scientists / AI Analysis</x:v>
      </x:c>
      <x:c r="N131" s="31" t="str">
        <x:v>Remote worksite is unspecified and salary is $100,000-$110,000. The employer expressly offers no visa sponsorship, so prevailing-wage analysis cannot make the role viable.</x:v>
      </x:c>
      <x:c r="O131" s="31" t="str">
        <x:v>Remote with Eastern Time overlap</x:v>
      </x:c>
      <x:c r="P131" s="31"/>
      <x:c r="Q131" s="31" t="str">
        <x:v>Remote-friendly with occasional travel</x:v>
      </x:c>
      <x:c r="R131" s="31" t="str">
        <x:v>Official posting explicitly states no visa sponsorship is available.</x:v>
      </x:c>
      <x:c r="S131" s="31" t="str">
        <x:v>Exceptional technical fit; work-authorization incompatible</x:v>
      </x:c>
      <x:c r="T131" s="31" t="str">
        <x:v>Python, JavaScript, SQL, APIs, workflows, LLMs, retrieval, agents, prompt design and AI evaluation align closely, but sponsorship is categorically unavailable.</x:v>
      </x:c>
      <x:c r="U131" s="31" t="str">
        <x:v>Not used</x:v>
      </x:c>
      <x:c r="V131" s="31" t="str">
        <x:v>None</x:v>
      </x:c>
      <x:c r="W131" s="31" t="str">
        <x:v>Halted after official description review because sponsorship is explicitly unavailable.</x:v>
      </x:c>
    </x:row>
    <x:row r="132">
      <x:c r="A132" s="28" t="str">
        <x:v>Clera client (undisclosed healthtech startup)</x:v>
      </x:c>
      <x:c r="B132" s="28" t="str">
        <x:v>Forward Deployed Engineer</x:v>
      </x:c>
      <x:c r="C132" s="28" t="str">
        <x:v>Not captured; official Ashby opening verified</x:v>
      </x:c>
      <x:c r="D132" s="28" t="str">
        <x:v>https://jobs.ashbyhq.com/Clera/b01da36a-b4ac-419d-aa53-ce60637788ca/application</x:v>
      </x:c>
      <x:c r="E132" s="29" t="str">
        <x:v>Official page indexed approximately 2 days before discovery</x:v>
      </x:c>
      <x:c r="F132" s="29" t="str">
        <x:v>2026-09-07</x:v>
      </x:c>
      <x:c r="G132" s="29"/>
      <x:c r="H132" s="29"/>
      <x:c r="I132" s="28" t="str">
        <x:v>Halted</x:v>
      </x:c>
      <x:c r="J132" s="30" t="n">
        <x:v>70000</x:v>
      </x:c>
      <x:c r="K132" s="30" t="n">
        <x:v>80000</x:v>
      </x:c>
      <x:c r="L132" s="28" t="str">
        <x:v>15-1252</x:v>
      </x:c>
      <x:c r="M132" s="28" t="str">
        <x:v>Software Developers</x:v>
      </x:c>
      <x:c r="N132" s="31" t="str">
        <x:v>Miami base salary is $70,000-$80,000; exact Level 1 comparison depends on the wage-workbook row, but the employer expressly offers no sponsorship and the range is low for H-1B software engineering.</x:v>
      </x:c>
      <x:c r="O132" s="31" t="str">
        <x:v>Miami, FL</x:v>
      </x:c>
      <x:c r="P132" s="31"/>
      <x:c r="Q132" s="31" t="str">
        <x:v>Fully on-site with frequent travel</x:v>
      </x:c>
      <x:c r="R132" s="31" t="str">
        <x:v>Official posting explicitly states no visa sponsorship is available.</x:v>
      </x:c>
      <x:c r="S132" s="31" t="str">
        <x:v>Strong technical fit; work-authorization incompatible</x:v>
      </x:c>
      <x:c r="T132" s="31" t="str">
        <x:v>React, Node/Deno, SQL, AWS, customer-facing delivery and early-career profile align, but sponsorship is unavailable and travel is substantial.</x:v>
      </x:c>
      <x:c r="U132" s="31" t="str">
        <x:v>Not used</x:v>
      </x:c>
      <x:c r="V132" s="31" t="str">
        <x:v>None</x:v>
      </x:c>
      <x:c r="W132" s="31" t="str">
        <x:v>Halted after official description review because sponsorship is explicitly unavailable.</x:v>
      </x:c>
    </x:row>
    <x:row r="133">
      <x:c r="A133" s="28" t="str">
        <x:v>Thinking Machines Lab</x:v>
      </x:c>
      <x:c r="B133" s="28" t="str">
        <x:v>Software Engineer, Evaluation Platform / Infra</x:v>
      </x:c>
      <x:c r="C133" s="28" t="str">
        <x:v>Not captured; current official Ashby opening verified</x:v>
      </x:c>
      <x:c r="D133" s="28" t="str">
        <x:v>https://jobs.ashbyhq.com/thinkingmachines/9d863c78-80c0-44cd-a574-d1330e125398/application</x:v>
      </x:c>
      <x:c r="E133" s="29" t="str">
        <x:v>Current opening</x:v>
      </x:c>
      <x:c r="F133" s="29" t="str">
        <x:v>2026-09-07</x:v>
      </x:c>
      <x:c r="G133" s="29"/>
      <x:c r="H133" s="29"/>
      <x:c r="I133" s="28" t="str">
        <x:v>Halted</x:v>
      </x:c>
      <x:c r="J133" s="30" t="n">
        <x:v>300000</x:v>
      </x:c>
      <x:c r="K133" s="30" t="n">
        <x:v>475000</x:v>
      </x:c>
      <x:c r="L133" s="28" t="str">
        <x:v>15-2051</x:v>
      </x:c>
      <x:c r="M133" s="28" t="str">
        <x:v>Data Scientists / ML Engineering</x:v>
      </x:c>
      <x:c r="N133" s="31" t="str">
        <x:v>San Francisco software-developer Level 4 is $255,653. The entire $300,000-$475,000 range exceeds all four benchmark levels.</x:v>
      </x:c>
      <x:c r="O133" s="31" t="str">
        <x:v>San Francisco, CA</x:v>
      </x:c>
      <x:c r="P133" s="31"/>
      <x:c r="Q133" s="31" t="str">
        <x:v>On-site</x:v>
      </x:c>
      <x:c r="R133" s="31" t="str">
        <x:v>Official posting states that Thinking Machines sponsors visas and will work through the process with suitable candidates.</x:v>
      </x:c>
      <x:c r="S133" s="31" t="str">
        <x:v>Exceptional technical fit; minimum-experience gap</x:v>
      </x:c>
      <x:c r="T133" s="31" t="str">
        <x:v>The role is almost an exact match to the candidate's 10+ model evaluation pipeline, graders/benchmarks, Python, APIs, React/TypeScript, data pipelines, distributed execution, reproducibility, observability and researcher collaboration. However, it explicitly requires two years of post-graduate SWE/ML experience excluding internships, which the candidate does not have.</x:v>
      </x:c>
      <x:c r="U133" s="31" t="str">
        <x:v>Not used</x:v>
      </x:c>
      <x:c r="V133" s="31" t="str">
        <x:v>None</x:v>
      </x:c>
      <x:c r="W133" s="31" t="str">
        <x:v>Halted despite exceptional technical alignment because the mandatory two-years post-grad experience excludes internships. The older Research Acceleration URL was also checked and now returns Job not found.</x:v>
      </x:c>
    </x:row>
    <x:row r="134">
      <x:c r="A134" s="28" t="str">
        <x:v>Thinking Machines Lab</x:v>
      </x:c>
      <x:c r="B134" s="28" t="str">
        <x:v>Software Engineer, Developer Productivity, AI Tools</x:v>
      </x:c>
      <x:c r="C134" s="28" t="str">
        <x:v>Not captured; current official Ashby opening verified</x:v>
      </x:c>
      <x:c r="D134" s="28" t="str">
        <x:v>https://jobs.ashbyhq.com/thinkingmachines/922c3777-64d1-468e-bb9b-aa68f3fec823/application</x:v>
      </x:c>
      <x:c r="E134" s="29" t="str">
        <x:v>Evergreen current opening</x:v>
      </x:c>
      <x:c r="F134" s="29" t="str">
        <x:v>2026-09-07</x:v>
      </x:c>
      <x:c r="G134" s="29" t="str">
        <x:v>2026-09-09</x:v>
      </x:c>
      <x:c r="H134" s="29" t="str">
        <x:v>2026-09-09</x:v>
      </x:c>
      <x:c r="I134" s="28" t="str">
        <x:v>Rejected</x:v>
      </x:c>
      <x:c r="J134" s="30" t="n">
        <x:v>350000</x:v>
      </x:c>
      <x:c r="K134" s="30" t="n">
        <x:v>475000</x:v>
      </x:c>
      <x:c r="L134" s="28" t="str">
        <x:v>15-1252</x:v>
      </x:c>
      <x:c r="M134" s="28" t="str">
        <x:v>Software Developers</x:v>
      </x:c>
      <x:c r="N134" s="31" t="str">
        <x:v>San Francisco Level 4 is $255,653. The entire $350,000-$475,000 range exceeds all four software-developer benchmark levels.</x:v>
      </x:c>
      <x:c r="O134" s="31" t="str">
        <x:v>San Francisco, CA</x:v>
      </x:c>
      <x:c r="P134" s="31"/>
      <x:c r="Q134" s="31" t="str">
        <x:v>Hybrid</x:v>
      </x:c>
      <x:c r="R134" s="31" t="str">
        <x:v>Official posting states that Thinking Machines sponsors visas and will work through the process with suitable candidates.</x:v>
      </x:c>
      <x:c r="S134" s="31" t="str">
        <x:v>Exceptional stretch</x:v>
      </x:c>
      <x:c r="T134" s="31" t="str">
        <x:v>Direct overlap with AI coding agents, browser workflows, internal developer tooling, Docker, CI/testing, vLLM/model APIs, Python, cloud GPUs, reproducible environments, tool reliability/cost tracking and researcher collaboration. No minimum post-grad year requirement is stated.</x:v>
      </x:c>
      <x:c r="U134" s="31" t="str">
        <x:v>Yuxuan_Chen_Resume_Giga_Software_Engineer_AI_Agents_20260907.pdf</x:v>
      </x:c>
      <x:c r="V134" s="31" t="str">
        <x:v>None</x:v>
      </x:c>
      <x:c r="W134" s="31" t="str">
        <x:v>Submitted successfully through the official Ashby form on 2026-09-09. Future sponsorship disclosed and candidate confidentiality acknowledgment accepted. Rejection received by email on 2026-09-11 at 8:25 PM ET; Thinking Machines Lab decided not to move forward.</x:v>
      </x:c>
    </x:row>
    <x:row r="135">
      <x:c r="A135" s="28" t="str">
        <x:v>Thinking Machines Lab</x:v>
      </x:c>
      <x:c r="B135" s="28" t="str">
        <x:v>Software Engineer, Research Tools</x:v>
      </x:c>
      <x:c r="C135" s="28" t="str">
        <x:v>Not captured; current official Ashby opening verified</x:v>
      </x:c>
      <x:c r="D135" s="28" t="str">
        <x:v>https://jobs.ashbyhq.com/thinkingmachines/72fe46e4-a772-4ebb-a413-53e4f1a8273e/application</x:v>
      </x:c>
      <x:c r="E135" s="29" t="str">
        <x:v>Current opening</x:v>
      </x:c>
      <x:c r="F135" s="29" t="str">
        <x:v>2026-09-07</x:v>
      </x:c>
      <x:c r="G135" s="29"/>
      <x:c r="H135" s="29"/>
      <x:c r="I135" s="28" t="str">
        <x:v>Halted</x:v>
      </x:c>
      <x:c r="J135" s="30" t="n">
        <x:v>300000</x:v>
      </x:c>
      <x:c r="K135" s="30" t="n">
        <x:v>475000</x:v>
      </x:c>
      <x:c r="L135" s="28" t="str">
        <x:v>15-1252</x:v>
      </x:c>
      <x:c r="M135" s="28" t="str">
        <x:v>Software Developers</x:v>
      </x:c>
      <x:c r="N135" s="31" t="str">
        <x:v>San Francisco software-developer Level 4 is $255,653. The entire $300,000-$475,000 range exceeds all four benchmark levels.</x:v>
      </x:c>
      <x:c r="O135" s="31" t="str">
        <x:v>San Francisco, CA</x:v>
      </x:c>
      <x:c r="P135" s="31"/>
      <x:c r="Q135" s="31" t="str">
        <x:v>Hybrid</x:v>
      </x:c>
      <x:c r="R135" s="31" t="str">
        <x:v>Official posting states that Thinking Machines sponsors visas and will work through the process with suitable candidates.</x:v>
      </x:c>
      <x:c r="S135" s="31" t="str">
        <x:v>Exceptional technical fit; minimum-experience gap</x:v>
      </x:c>
      <x:c r="T135" s="31" t="str">
        <x:v>Strong overlap with evaluation frameworks, experiment tracking, research infrastructure, React/TypeScript, Python, data pipelines, observability and researcher collaboration. However, the posting explicitly requires two years of post-graduate SWE or ML engineering experience excluding internships.</x:v>
      </x:c>
      <x:c r="U135" s="31" t="str">
        <x:v>Not used</x:v>
      </x:c>
      <x:c r="V135" s="31" t="str">
        <x:v>None</x:v>
      </x:c>
      <x:c r="W135" s="31" t="str">
        <x:v>Halted after full official description review because the mandatory two-years post-grad experience excludes internships.</x:v>
      </x:c>
    </x:row>
    <x:row r="136">
      <x:c r="A136" s="28" t="str">
        <x:v>Center AI Vision</x:v>
      </x:c>
      <x:c r="B136" s="28" t="str">
        <x:v>Software Engineer, Platform</x:v>
      </x:c>
      <x:c r="C136" s="28" t="str">
        <x:v>https://www.linkedin.com/jobs/view/4464096112/</x:v>
      </x:c>
      <x:c r="D136" s="28" t="str">
        <x:v>https://www.centeraivision.com/contact?topic=careers</x:v>
      </x:c>
      <x:c r="E136" s="29" t="str">
        <x:v>2026-09-07</x:v>
      </x:c>
      <x:c r="F136" s="29" t="str">
        <x:v>2026-09-07</x:v>
      </x:c>
      <x:c r="G136" s="29"/>
      <x:c r="H136" s="29"/>
      <x:c r="I136" s="28" t="str">
        <x:v>Halted</x:v>
      </x:c>
      <x:c r="J136" s="30"/>
      <x:c r="K136" s="30"/>
      <x:c r="L136" s="28" t="str">
        <x:v>15-1252</x:v>
      </x:c>
      <x:c r="M136" s="28" t="str">
        <x:v>Software Developers</x:v>
      </x:c>
      <x:c r="N136" s="31" t="str">
        <x:v>No salary or valid employing worksite was disclosed, so no defensible prevailing-wage comparison can be completed.</x:v>
      </x:c>
      <x:c r="O136" s="31" t="str">
        <x:v>Remote U.S. (worksite undisclosed)</x:v>
      </x:c>
      <x:c r="P136" s="31"/>
      <x:c r="Q136" s="31" t="str">
        <x:v>Remote</x:v>
      </x:c>
      <x:c r="R136" s="31" t="str">
        <x:v>Not stated</x:v>
      </x:c>
      <x:c r="S136" s="31" t="str">
        <x:v>Invalid listing</x:v>
      </x:c>
      <x:c r="T136" s="31" t="str">
        <x:v>LinkedIn's job-description area contains the company's generic compute/mining contact-page content rather than duties or qualifications for a software-engineering position.</x:v>
      </x:c>
      <x:c r="U136" s="31" t="str">
        <x:v>Not used</x:v>
      </x:c>
      <x:c r="V136" s="31" t="str">
        <x:v>None</x:v>
      </x:c>
      <x:c r="W136" s="31" t="str">
        <x:v>Halted because the external Apply destination is a generic contact form and the listing does not provide a genuine full job description.</x:v>
      </x:c>
    </x:row>
    <x:row r="137">
      <x:c r="A137" s="28" t="str">
        <x:v>TalentHop client (undisclosed)</x:v>
      </x:c>
      <x:c r="B137" s="28" t="str">
        <x:v>Junior Developer</x:v>
      </x:c>
      <x:c r="C137" s="28" t="str">
        <x:v>https://www.linkedin.com/jobs/view/4461893008/</x:v>
      </x:c>
      <x:c r="D137" s="28" t="str">
        <x:v>https://www.talenthop.com/apply-with-ai/30d8e230-595f-4f49-945c-aa2a2a847593</x:v>
      </x:c>
      <x:c r="E137" s="29" t="str">
        <x:v>2026-09-07</x:v>
      </x:c>
      <x:c r="F137" s="29" t="str">
        <x:v>2026-09-07</x:v>
      </x:c>
      <x:c r="G137" s="29"/>
      <x:c r="H137" s="29"/>
      <x:c r="I137" s="28" t="str">
        <x:v>Halted</x:v>
      </x:c>
      <x:c r="J137" s="30" t="n">
        <x:v>75168</x:v>
      </x:c>
      <x:c r="K137" s="30" t="n">
        <x:v>156600</x:v>
      </x:c>
      <x:c r="L137" s="28" t="str">
        <x:v>15-1252</x:v>
      </x:c>
      <x:c r="M137" s="28" t="str">
        <x:v>Software Developers</x:v>
      </x:c>
      <x:c r="N137" s="31" t="str">
        <x:v>Remote worksite is unspecified. The range could clear Level 1 in lower-cost areas but its minimum is below the Boston-Cambridge-Newton Level 1 benchmark of $114,275; employer and worksite are not disclosed.</x:v>
      </x:c>
      <x:c r="O137" s="31" t="str">
        <x:v>Remote U.S. (worksite undisclosed)</x:v>
      </x:c>
      <x:c r="P137" s="31"/>
      <x:c r="Q137" s="31" t="str">
        <x:v>Remote</x:v>
      </x:c>
      <x:c r="R137" s="31" t="str">
        <x:v>Not stated; undisclosed client and Public Trust requirement create material work-authorization uncertainty.</x:v>
      </x:c>
      <x:c r="S137" s="31" t="str">
        <x:v>Moderate technical fit; authorization risk</x:v>
      </x:c>
      <x:c r="T137" s="31" t="str">
        <x:v>Python, REST APIs, JavaScript/Node, databases, Linux and Git align, but the role requires two years of software experience, three years of Python and ability to obtain and maintain Public Trust.</x:v>
      </x:c>
      <x:c r="U137" s="31" t="str">
        <x:v>Not used</x:v>
      </x:c>
      <x:c r="V137" s="31" t="str">
        <x:v>None</x:v>
      </x:c>
      <x:c r="W137" s="31" t="str">
        <x:v>Halted after full description review because the employer is undisclosed, sponsorship is unknown and Public Trust eligibility is required.</x:v>
      </x:c>
    </x:row>
    <x:row r="138">
      <x:c r="A138" s="28" t="str">
        <x:v>NiCE</x:v>
      </x:c>
      <x:c r="B138" s="28" t="str">
        <x:v>Forward Deployed Engineer</x:v>
      </x:c>
      <x:c r="C138" s="28" t="str">
        <x:v>https://www.linkedin.com/jobs/view/4414064657/</x:v>
      </x:c>
      <x:c r="D138" s="28" t="str">
        <x:v>https://boards.eu.greenhouse.io/nice/jobs/4837047101?gh_jid=4837047101</x:v>
      </x:c>
      <x:c r="E138" s="29" t="str">
        <x:v>LinkedIn reposted 2026-09-07</x:v>
      </x:c>
      <x:c r="F138" s="29" t="str">
        <x:v>2026-09-07</x:v>
      </x:c>
      <x:c r="G138" s="29" t="str">
        <x:v>2026-09-07</x:v>
      </x:c>
      <x:c r="H138" s="29" t="str">
        <x:v>2026-09-07</x:v>
      </x:c>
      <x:c r="I138" s="28" t="str">
        <x:v>Submitted</x:v>
      </x:c>
      <x:c r="J138" s="30"/>
      <x:c r="K138" s="30"/>
      <x:c r="L138" s="28" t="str">
        <x:v>15-2051</x:v>
      </x:c>
      <x:c r="M138" s="28" t="str">
        <x:v>Data Scientists / AI Engineers</x:v>
      </x:c>
      <x:c r="N138" s="31" t="str">
        <x:v>Salary and final remote worksite are undisclosed. If employed from Massachusetts, Boston-Cambridge-Newton 15-2051 levels are L1 $88,920; L2 $112,861; L3 $136,781; L4 $160,722. A $120,000-$150,000 request clears Level 2 and most of the range clears Level 3.</x:v>
      </x:c>
      <x:c r="O138" s="31" t="str">
        <x:v>Remote from Massachusetts</x:v>
      </x:c>
      <x:c r="P138" s="31" t="str">
        <x:v>USA remote</x:v>
      </x:c>
      <x:c r="Q138" s="31" t="str">
        <x:v>Remote</x:v>
      </x:c>
      <x:c r="R138" s="31" t="str">
        <x:v>Not stated; the official form asks applicants to clarify visa/work-permit needs.</x:v>
      </x:c>
      <x:c r="S138" s="31" t="str">
        <x:v>Exceptional stretch</x:v>
      </x:c>
      <x:c r="T138" s="31" t="str">
        <x:v>Direct alignment with production AI agents, evaluation frameworks, orchestration, RAG, prompt engineering, React/TypeScript, end-to-end systems and customer-facing delivery. No minimum number of years is stated.</x:v>
      </x:c>
      <x:c r="U138" s="31" t="str">
        <x:v>Yuxuan Chen Resume.pdf content entered manually through Greenhouse</x:v>
      </x:c>
      <x:c r="V138" s="31" t="str">
        <x:v>None. Visa answer can truthfully state F-1/OPT pending and future sponsorship need; salary request can be $120,000-$150,000 base, flexible with total compensation.</x:v>
      </x:c>
      <x:c r="W138" s="31" t="str">
        <x:v>Submitted successfully through Greenhouse. Confirmation page displayed: Woohoo! We received your application! The Greenhouse file chooser did not trigger, so the complete resume content was entered through the official Resume/CV 'Enter manually' option. Email verification completed. Selected employer factors: hands-on AI work, career growth, and meaningful professional challenges.</x:v>
      </x:c>
    </x:row>
    <x:row r="139">
      <x:c r="A139" s="28" t="str">
        <x:v>micro1</x:v>
      </x:c>
      <x:c r="B139" s="28" t="str">
        <x:v>AI/ML Engineer</x:v>
      </x:c>
      <x:c r="C139" s="28" t="str">
        <x:v>https://www.linkedin.com/jobs/view/4464321169/</x:v>
      </x:c>
      <x:c r="D139" s="28" t="str">
        <x:v>Not pursued</x:v>
      </x:c>
      <x:c r="E139" s="29" t="str">
        <x:v>2026-09-07</x:v>
      </x:c>
      <x:c r="F139" s="29" t="str">
        <x:v>2026-09-07</x:v>
      </x:c>
      <x:c r="G139" s="29"/>
      <x:c r="H139" s="29"/>
      <x:c r="I139" s="28" t="str">
        <x:v>Halted</x:v>
      </x:c>
      <x:c r="J139" s="30"/>
      <x:c r="K139" s="30"/>
      <x:c r="L139" s="28" t="str">
        <x:v>15-2051</x:v>
      </x:c>
      <x:c r="M139" s="28" t="str">
        <x:v>Data Scientists / AI Engineers</x:v>
      </x:c>
      <x:c r="N139" s="31" t="str">
        <x:v>Remote worksite and compensation are undisclosed, preventing a defensible wage comparison.</x:v>
      </x:c>
      <x:c r="O139" s="31" t="str">
        <x:v>Remote U.S. (worksite undisclosed)</x:v>
      </x:c>
      <x:c r="P139" s="31"/>
      <x:c r="Q139" s="31" t="str">
        <x:v>LinkedIn classifies the role as contract despite the description saying full-time</x:v>
      </x:c>
      <x:c r="R139" s="31" t="str">
        <x:v>Not stated; duties emphasize mission-critical government initiatives and GovCloud/IL5 environments.</x:v>
      </x:c>
      <x:c r="S139" s="31" t="str">
        <x:v>Strong technical fit; preference and authorization mismatch</x:v>
      </x:c>
      <x:c r="T139" s="31" t="str">
        <x:v>LLMs, RAG, agents, LangGraph/LangChain, Python APIs, ETL and CI/CD align, but the role is classified as contract and centers on government-cloud delivery.</x:v>
      </x:c>
      <x:c r="U139" s="31" t="str">
        <x:v>Not used</x:v>
      </x:c>
      <x:c r="V139" s="31" t="str">
        <x:v>None</x:v>
      </x:c>
      <x:c r="W139" s="31" t="str">
        <x:v>Halted because the user does not want contract work and cannot pursue roles dependent on government/security eligibility.</x:v>
      </x:c>
    </x:row>
    <x:row r="140">
      <x:c r="A140" s="28" t="str">
        <x:v>Abax Health</x:v>
      </x:c>
      <x:c r="B140" s="28" t="str">
        <x:v>Software Engineer (Remote)</x:v>
      </x:c>
      <x:c r="C140" s="28" t="str">
        <x:v>https://www.linkedin.com/jobs/view/4463711867/</x:v>
      </x:c>
      <x:c r="D140" s="28" t="str">
        <x:v>https://ats.rippling.com/abax-health/jobs/bb8368d4-3f08-44d1-8dc5-77004c8be75d?jobSite=LinkedIn</x:v>
      </x:c>
      <x:c r="E140" s="29" t="str">
        <x:v>2026-09-05</x:v>
      </x:c>
      <x:c r="F140" s="29" t="str">
        <x:v>2026-09-07</x:v>
      </x:c>
      <x:c r="G140" s="29" t="str">
        <x:v>2026-09-07</x:v>
      </x:c>
      <x:c r="H140" s="29" t="str">
        <x:v>2026-09-07</x:v>
      </x:c>
      <x:c r="I140" s="28" t="str">
        <x:v>Rejected</x:v>
      </x:c>
      <x:c r="J140" s="30"/>
      <x:c r="K140" s="30"/>
      <x:c r="L140" s="28" t="str">
        <x:v>15-1252</x:v>
      </x:c>
      <x:c r="M140" s="28" t="str">
        <x:v>Software Developers</x:v>
      </x:c>
      <x:c r="N140" s="31" t="str">
        <x:v>Salary and final employing worksite are undisclosed. If employed from Massachusetts, Boston-Cambridge-Newton 15-1252 levels are L1 $114,275; L2 $138,237; L3 $162,198; L4 $186,160. A $120,000-$150,000 target range clears Level 1 and reaches Level 2 in its upper portion.</x:v>
      </x:c>
      <x:c r="O140" s="31" t="str">
        <x:v>Remote from Massachusetts</x:v>
      </x:c>
      <x:c r="P140" s="31" t="str">
        <x:v>United States</x:v>
      </x:c>
      <x:c r="Q140" s="31" t="str">
        <x:v>Remote</x:v>
      </x:c>
      <x:c r="R140" s="31" t="str">
        <x:v>Not stated in the posting; the official form explicitly asks whether sponsorship is required now or in the future.</x:v>
      </x:c>
      <x:c r="S140" s="31" t="str">
        <x:v>Strong realistic fit</x:v>
      </x:c>
      <x:c r="T140" s="31" t="str">
        <x:v>Full-stack, backend, APIs, relational databases, cloud, SQL, testing, source control, CI/CD and AI-assisted engineering align. The employer explicitly says .NET/C#, healthcare and EHR expertise are valuable but not required, and no minimum years are stated.</x:v>
      </x:c>
      <x:c r="U140" s="31" t="str">
        <x:v>Yuxuan Chen Resume.pdf</x:v>
      </x:c>
      <x:c r="V140" s="31" t="str">
        <x:v>None</x:v>
      </x:c>
      <x:c r="W140" s="31" t="str">
        <x:v>Rejected by email on 2026-09-09 after review for Software Engineer (Remote). Original application was submitted successfully through Rippling on 2026-09-07.</x:v>
      </x:c>
    </x:row>
    <x:row r="141">
      <x:c r="A141" s="28" t="str">
        <x:v>Alkami Technology</x:v>
      </x:c>
      <x:c r="B141" s="28" t="str">
        <x:v>Software Engineer (MANTL)</x:v>
      </x:c>
      <x:c r="C141" s="28" t="str">
        <x:v>https://www.linkedin.com/jobs/view/4445243426/</x:v>
      </x:c>
      <x:c r="D141" s="28" t="str">
        <x:v>https://alkami.wd12.myworkdayjobs.com/alkami/job/US-Remote/Software-Engineer--MANTL-_JR-000779</x:v>
      </x:c>
      <x:c r="E141" s="29" t="str">
        <x:v>LinkedIn reposted 2026-09-06</x:v>
      </x:c>
      <x:c r="F141" s="29" t="str">
        <x:v>2026-09-07</x:v>
      </x:c>
      <x:c r="G141" s="29"/>
      <x:c r="H141" s="29"/>
      <x:c r="I141" s="28" t="str">
        <x:v>Halted</x:v>
      </x:c>
      <x:c r="J141" s="30" t="n">
        <x:v>120000</x:v>
      </x:c>
      <x:c r="K141" s="30" t="n">
        <x:v>145000</x:v>
      </x:c>
      <x:c r="L141" s="28" t="str">
        <x:v>15-1252</x:v>
      </x:c>
      <x:c r="M141" s="28" t="str">
        <x:v>Software Developers</x:v>
      </x:c>
      <x:c r="N141" s="31" t="str">
        <x:v>For a Massachusetts remote worksite, Boston-Cambridge-Newton 15-1252 levels are L1 $114,275; L2 $138,237; L3 $162,198; L4 $186,160. The full range clears Level 1 and the upper portion clears Level 2.</x:v>
      </x:c>
      <x:c r="O141" s="31" t="str">
        <x:v>Remote from Massachusetts</x:v>
      </x:c>
      <x:c r="P141" s="31" t="str">
        <x:v>U.S. remote</x:v>
      </x:c>
      <x:c r="Q141" s="31" t="str">
        <x:v>Remote-first</x:v>
      </x:c>
      <x:c r="R141" s="31" t="str">
        <x:v>Official posting explicitly states that employment sponsorship cannot be offered at this time.</x:v>
      </x:c>
      <x:c r="S141" s="31" t="str">
        <x:v>Moderate technical fit; sponsorship incompatible</x:v>
      </x:c>
      <x:c r="T141" s="31" t="str">
        <x:v>REST APIs, Node/Python/TypeScript, React and microservices align, though the role asks for 2+ years of professional backend experience and stronger system-design/domain-driven-design depth.</x:v>
      </x:c>
      <x:c r="U141" s="31" t="str">
        <x:v>Not used</x:v>
      </x:c>
      <x:c r="V141" s="31" t="str">
        <x:v>None</x:v>
      </x:c>
      <x:c r="W141" s="31" t="str">
        <x:v>Halted after full description review because sponsorship is explicitly unavailable.</x:v>
      </x:c>
    </x:row>
    <x:row r="142">
      <x:c r="A142" s="28" t="str">
        <x:v>Cisco</x:v>
      </x:c>
      <x:c r="B142" s="28" t="str">
        <x:v>Software Engineer Full Stack / Backend I (Full Time) - United States</x:v>
      </x:c>
      <x:c r="C142" s="28" t="str">
        <x:v>https://www.linkedin.com/jobs/view/4461295437/</x:v>
      </x:c>
      <x:c r="D142" s="28" t="str">
        <x:v>https://careers.cisco.com/global/en/job/CISCISGLOBAL2024035EXTERNALENGLOBAL/Software-Engineer-Full-Stack-Backend-I-Full-Time-United-States</x:v>
      </x:c>
      <x:c r="E142" s="29" t="str">
        <x:v>2026-09-07</x:v>
      </x:c>
      <x:c r="F142" s="29" t="str">
        <x:v>2026-09-07</x:v>
      </x:c>
      <x:c r="G142" s="29" t="str">
        <x:v>2026-09-07</x:v>
      </x:c>
      <x:c r="H142" s="29" t="str">
        <x:v>2026-09-07</x:v>
      </x:c>
      <x:c r="I142" s="28" t="str">
        <x:v>Submitted</x:v>
      </x:c>
      <x:c r="J142" s="30" t="n">
        <x:v>107800</x:v>
      </x:c>
      <x:c r="K142" s="30" t="n">
        <x:v>157400</x:v>
      </x:c>
      <x:c r="L142" s="28" t="str">
        <x:v>15-1252</x:v>
      </x:c>
      <x:c r="M142" s="28" t="str">
        <x:v>Software Developers</x:v>
      </x:c>
      <x:c r="N142" s="31" t="str">
        <x:v>Cisco discloses $107,800-$157,400 for the New York City metro and $94,800-$140,000 for non-metro New York and Washington; Massachusetts pay is recruiter-disclosed. For Boston-Cambridge-Newton 15-1252, Level 1 is $114,275, Level 2 $138,237, Level 3 $162,198 and Level 4 $186,160. A Boston/Maynard offer must be at least $114,275 to clear Level 1; target compensation remains $120,000 or higher.</x:v>
      </x:c>
      <x:c r="O142" s="31" t="str">
        <x:v>Boston or Maynard, Massachusetts</x:v>
      </x:c>
      <x:c r="P142" s="31" t="str">
        <x:v>San Jose, Milpitas, Alpharetta, Atlanta, Austin, Dallas, Fulton, Hillsboro, Knoxville, New York, Research Triangle Park</x:v>
      </x:c>
      <x:c r="Q142" s="31" t="str">
        <x:v>Hybrid; applicant confirmed availability 2-4 office days per week</x:v>
      </x:c>
      <x:c r="R142" s="31" t="str">
        <x:v>Posting does not state sponsorship policy; application truthfully disclosed current work authorization and future visa sponsorship requirement.</x:v>
      </x:c>
      <x:c r="S142" s="31" t="str">
        <x:v>Strong</x:v>
      </x:c>
      <x:c r="T142" s="31" t="str">
        <x:v>The role accepts a recent bachelor's degree with zero years of experience. Python, Java, JavaScript/TypeScript, React, REST APIs, databases, Git/Linux, AWS, Docker/Kubernetes and cloud-native backend work align directly with the resume.</x:v>
      </x:c>
      <x:c r="U142" s="31" t="str">
        <x:v>Yuxuan Chen Resume.pdf</x:v>
      </x:c>
      <x:c r="V142" s="31" t="str">
        <x:v>None</x:v>
      </x:c>
      <x:c r="W142" s="31" t="str">
        <x:v>Submitted successfully on Cisco Careers. Application ID 3c018fa4be9c902bb5d63c0652fa0000; candidate ID C-1597792. Selected 0-1 year experience, bachelor's completed, master's in progress, earliest start 2027-02-18, sponsorship required, Woman, Asian, not a veteran, no disability. Resume attached.</x:v>
      </x:c>
    </x:row>
    <x:row r="143">
      <x:c r="A143" s="28" t="str">
        <x:v>Jobright.ai</x:v>
      </x:c>
      <x:c r="B143" s="28" t="str">
        <x:v>Software Test Engineer, Entry Level</x:v>
      </x:c>
      <x:c r="C143" s="28" t="str">
        <x:v>https://www.linkedin.com/jobs/view/4462957807/</x:v>
      </x:c>
      <x:c r="D143" s="28" t="str">
        <x:v>https://jobright.ai/jobs/info/b2b_1788318533818_218</x:v>
      </x:c>
      <x:c r="E143" s="29" t="str">
        <x:v>2026-09-07</x:v>
      </x:c>
      <x:c r="F143" s="29" t="str">
        <x:v>2026-09-07</x:v>
      </x:c>
      <x:c r="G143" s="29"/>
      <x:c r="H143" s="29"/>
      <x:c r="I143" s="28" t="str">
        <x:v>Halted</x:v>
      </x:c>
      <x:c r="J143" s="30"/>
      <x:c r="K143" s="30"/>
      <x:c r="L143" s="28" t="str">
        <x:v>15-1253</x:v>
      </x:c>
      <x:c r="M143" s="28" t="str">
        <x:v>Software Quality Assurance Analysts and Testers</x:v>
      </x:c>
      <x:c r="N143" s="31" t="str">
        <x:v>The posting is U.S.-remote and does not disclose salary or an employing worksite, so a location-specific H-1B wage comparison cannot yet be made. For a Massachusetts remote worksite, the final offer must clear the applicable Boston-area 15-1253 Level 1 wage.</x:v>
      </x:c>
      <x:c r="O143" s="31" t="str">
        <x:v>Remote from Massachusetts if permitted</x:v>
      </x:c>
      <x:c r="P143" s="31" t="str">
        <x:v>United States remote</x:v>
      </x:c>
      <x:c r="Q143" s="31" t="str">
        <x:v>Remote</x:v>
      </x:c>
      <x:c r="R143" s="31" t="str">
        <x:v>Not stated</x:v>
      </x:c>
      <x:c r="S143" s="31" t="str">
        <x:v>Strong skills fit; employer and compensation verification pending</x:v>
      </x:c>
      <x:c r="T143" s="31" t="str">
        <x:v>Entry-level scope, Python/JavaScript/Java exposure, API and web testing, debugging, CI/CD and basic test automation align with the resume and experience level.</x:v>
      </x:c>
      <x:c r="U143" s="31" t="str">
        <x:v>Not used</x:v>
      </x:c>
      <x:c r="V143" s="31" t="str">
        <x:v>None from candidate; employer of record, salary range, worksite and sponsorship policy must be verified.</x:v>
      </x:c>
      <x:c r="W143" s="31" t="str">
        <x:v>Full LinkedIn description reviewed. Kept as Discovered because the posting routes through Jobright, provides no salary, and does not establish an H-1B-compatible employing worksite.</x:v>
      </x:c>
    </x:row>
    <x:row r="144">
      <x:c r="A144" s="28" t="str">
        <x:v>Patch My PC</x:v>
      </x:c>
      <x:c r="B144" s="28" t="str">
        <x:v>Software Engineer, AI</x:v>
      </x:c>
      <x:c r="C144" s="28" t="str">
        <x:v>https://www.linkedin.com/jobs/view/4462952923/</x:v>
      </x:c>
      <x:c r="D144" s="28" t="str">
        <x:v>https://gigfinder.ai/members/job-detail?id=3063515</x:v>
      </x:c>
      <x:c r="E144" s="29" t="str">
        <x:v>2026-09-07</x:v>
      </x:c>
      <x:c r="F144" s="29" t="str">
        <x:v>2026-09-07</x:v>
      </x:c>
      <x:c r="G144" s="29"/>
      <x:c r="H144" s="29"/>
      <x:c r="I144" s="28" t="str">
        <x:v>Halted</x:v>
      </x:c>
      <x:c r="J144" s="30" t="n">
        <x:v>135000</x:v>
      </x:c>
      <x:c r="K144" s="30" t="n">
        <x:v>165000</x:v>
      </x:c>
      <x:c r="L144" s="28" t="str">
        <x:v>15-1252</x:v>
      </x:c>
      <x:c r="M144" s="28" t="str">
        <x:v>Software Developers</x:v>
      </x:c>
      <x:c r="N144" s="31" t="str">
        <x:v>The salary range is strong, but Massachusetts is excluded from the employer's permitted remote-work states. A relocation might solve the worksite issue, but the explicit five-year C#/.NET requirement independently makes the role unrealistic.</x:v>
      </x:c>
      <x:c r="O144" s="31" t="str">
        <x:v>No compatible Massachusetts remote worksite</x:v>
      </x:c>
      <x:c r="P144" s="31" t="str">
        <x:v>Remote in listed states excluding Massachusetts</x:v>
      </x:c>
      <x:c r="Q144" s="31" t="str">
        <x:v>Remote</x:v>
      </x:c>
      <x:c r="R144" s="31" t="str">
        <x:v>Not stated</x:v>
      </x:c>
      <x:c r="S144" s="31" t="str">
        <x:v>Low</x:v>
      </x:c>
      <x:c r="T144" s="31" t="str">
        <x:v>LLM, agent frameworks, Python, APIs, cloud, MongoDB, Docker and CI/CD align, but the role requires 5+ years of professional C#/.NET development and Massachusetts is not an eligible remote state.</x:v>
      </x:c>
      <x:c r="U144" s="31" t="str">
        <x:v>Not used</x:v>
      </x:c>
      <x:c r="V144" s="31" t="str">
        <x:v>None</x:v>
      </x:c>
      <x:c r="W144" s="31" t="str">
        <x:v>Halted after full description review because of the five-year C#/.NET requirement and Massachusetts remote-state exclusion. LinkedIn posting was syndicated through GigFinder.ai and originally posted on Himalayas.</x:v>
      </x:c>
    </x:row>
    <x:row r="145">
      <x:c r="A145" s="28" t="str">
        <x:v>Genius AI</x:v>
      </x:c>
      <x:c r="B145" s="28" t="str">
        <x:v>Software Engineer - All Levels</x:v>
      </x:c>
      <x:c r="C145" s="28" t="str">
        <x:v>https://www.linkedin.com/jobs/view/4461750865/</x:v>
      </x:c>
      <x:c r="D145" s="28" t="str">
        <x:v>https://jobs.ashbyhq.com/geniusai/3f73dec7-92f1-4bd4-820a-9ec674b336b4/application?utm_source=linkedinjobposting</x:v>
      </x:c>
      <x:c r="E145" s="29" t="str">
        <x:v>LinkedIn posted 2026-09-01</x:v>
      </x:c>
      <x:c r="F145" s="29" t="str">
        <x:v>2026-09-08</x:v>
      </x:c>
      <x:c r="G145" s="29"/>
      <x:c r="H145" s="29"/>
      <x:c r="I145" s="28" t="str">
        <x:v>Halted</x:v>
      </x:c>
      <x:c r="J145" s="30" t="n">
        <x:v>150000</x:v>
      </x:c>
      <x:c r="K145" s="30" t="n">
        <x:v>230000</x:v>
      </x:c>
      <x:c r="L145" s="28" t="str">
        <x:v>15-1252</x:v>
      </x:c>
      <x:c r="M145" s="28" t="str">
        <x:v>Software Developers</x:v>
      </x:c>
      <x:c r="N145" s="31" t="str">
        <x:v>New York-Newark-Jersey City Software Developers Level 1 is $109,845, Level 2 is $137,717, Level 3 is $165,589 and Level 4 is $193,461. The entire $150,000-$230,000 range clears Level 2, offers from $165,589 clear Level 3 and offers from $193,461 clear Level 4.</x:v>
      </x:c>
      <x:c r="O145" s="31" t="str">
        <x:v>New York, NY</x:v>
      </x:c>
      <x:c r="P145" s="31"/>
      <x:c r="Q145" s="31" t="str">
        <x:v>Hybrid; NYC office three to four days per week with Tuesday and Thursday required</x:v>
      </x:c>
      <x:c r="R145" s="31" t="str">
        <x:v>Not stated. The role was halted for the explicit professional-experience and production-ownership requirements before application.</x:v>
      </x:c>
      <x:c r="S145" s="31" t="str">
        <x:v>Strong AI-stack overlap but not entry-level</x:v>
      </x:c>
      <x:c r="T145" s="31" t="str">
        <x:v>Agentic systems, TypeScript/React, Java/Kotlin-adjacent backend work, AWS, Kubernetes and PostgreSQL align well. However, the full posting requires 2+ years of professional software-engineering experience and demonstrated ownership of production systems rather than team contributions.</x:v>
      </x:c>
      <x:c r="U145" s="31" t="str">
        <x:v>Not used</x:v>
      </x:c>
      <x:c r="V145" s="31" t="str">
        <x:v>None</x:v>
      </x:c>
      <x:c r="W145" s="31" t="str">
        <x:v>Halted after complete LinkedIn description review. Despite the “All Levels” title, the published minimum is 2+ years with end-to-end production ownership, so it is not a realistic new-graduate opening. No new resume created.</x:v>
      </x:c>
    </x:row>
    <x:row r="146">
      <x:c r="A146" s="28" t="str">
        <x:v>Acrisure</x:v>
      </x:c>
      <x:c r="B146" s="28" t="str">
        <x:v>Software Engineer I</x:v>
      </x:c>
      <x:c r="C146" s="28" t="str">
        <x:v>https://www.linkedin.com/jobs/view/4441944930/</x:v>
      </x:c>
      <x:c r="D146" s="28" t="str">
        <x:v>https://careers.acrisure.com/us/en/job/AOAHVUSJR113871EXTERNALENUS/Software-Engineer-I</x:v>
      </x:c>
      <x:c r="E146" s="29" t="str">
        <x:v>LinkedIn reposted 2026-08-31</x:v>
      </x:c>
      <x:c r="F146" s="29" t="str">
        <x:v>2026-09-07</x:v>
      </x:c>
      <x:c r="G146" s="29"/>
      <x:c r="H146" s="29"/>
      <x:c r="I146" s="28" t="str">
        <x:v>Halted</x:v>
      </x:c>
      <x:c r="J146" s="30" t="n">
        <x:v>100000</x:v>
      </x:c>
      <x:c r="K146" s="30" t="n">
        <x:v>150000</x:v>
      </x:c>
      <x:c r="L146" s="28" t="str">
        <x:v>15-1252</x:v>
      </x:c>
      <x:c r="M146" s="28" t="str">
        <x:v>Software Developers</x:v>
      </x:c>
      <x:c r="N146" s="31" t="str">
        <x:v>For Austin 15-1252, Level 1 is $95,888 and Level 2 is $119,642, so the range clears Level 1 and the upper portion clears Level 2. Other listed worksites require their local wage comparisons, but sponsorship is independently unavailable.</x:v>
      </x:c>
      <x:c r="O146" s="31" t="str">
        <x:v>Austin, TX if sponsorship were available</x:v>
      </x:c>
      <x:c r="P146" s="31" t="str">
        <x:v>Grand Rapids, MI; Uniondale, NY; Atlanta, GA</x:v>
      </x:c>
      <x:c r="Q146" s="31" t="str">
        <x:v>On-site 4 days per week</x:v>
      </x:c>
      <x:c r="R146" s="31" t="str">
        <x:v>Explicitly unavailable; posting states the company is not able to sponsor visas for this position.</x:v>
      </x:c>
      <x:c r="S146" s="31" t="str">
        <x:v>Strong technical fit; sponsorship incompatible</x:v>
      </x:c>
      <x:c r="T146" s="31" t="str">
        <x:v>Entry-level SDE1 work, Python/JavaScript/TypeScript, APIs, integrations, testing, debugging and AI-assisted development align very well; the explicit no-sponsorship policy makes the role incompatible.</x:v>
      </x:c>
      <x:c r="U146" s="31" t="str">
        <x:v>Not used</x:v>
      </x:c>
      <x:c r="V146" s="31" t="str">
        <x:v>None</x:v>
      </x:c>
      <x:c r="W146" s="31" t="str">
        <x:v>Halted after full description review solely because visa sponsorship is explicitly unavailable now or in the future for this requisition.</x:v>
      </x:c>
    </x:row>
    <x:row r="147">
      <x:c r="A147" s="28" t="str">
        <x:v>PayPal</x:v>
      </x:c>
      <x:c r="B147" s="28" t="str">
        <x:v>Software Engineer - Recent Graduate</x:v>
      </x:c>
      <x:c r="C147" s="28" t="str">
        <x:v>https://www.linkedin.com/jobs/view/4463654152/</x:v>
      </x:c>
      <x:c r="D147" s="28" t="str">
        <x:v>https://paypal.eightfold.ai/careers/job/274921995088?hl=en-US&amp;domain=paypal.com</x:v>
      </x:c>
      <x:c r="E147" s="29" t="str">
        <x:v>2026-09-05</x:v>
      </x:c>
      <x:c r="F147" s="29" t="str">
        <x:v>2026-09-07</x:v>
      </x:c>
      <x:c r="G147" s="29"/>
      <x:c r="H147" s="29"/>
      <x:c r="I147" s="28" t="str">
        <x:v>Halted</x:v>
      </x:c>
      <x:c r="J147" s="30" t="n">
        <x:v>113400</x:v>
      </x:c>
      <x:c r="K147" s="30" t="n">
        <x:v>124500</x:v>
      </x:c>
      <x:c r="L147" s="28" t="str">
        <x:v>15-1252</x:v>
      </x:c>
      <x:c r="M147" s="28" t="str">
        <x:v>Software Developers</x:v>
      </x:c>
      <x:c r="N147" s="31" t="str">
        <x:v>Chicago and Austin pay $113,400-$124,500; San Jose pays $124,700-$137,000. Austin Level 1 is $95,888 and Level 2 $119,642, so the full range clears Level 1 and the upper portion clears Level 2. Sponsorship is independently unavailable.</x:v>
      </x:c>
      <x:c r="O147" s="31" t="str">
        <x:v>Austin, TX if sponsorship were available</x:v>
      </x:c>
      <x:c r="P147" s="31" t="str">
        <x:v>Chicago, IL; San Jose, CA</x:v>
      </x:c>
      <x:c r="Q147" s="31" t="str">
        <x:v>Hybrid, generally 3 office days per week</x:v>
      </x:c>
      <x:c r="R147" s="31" t="str">
        <x:v>Explicitly unavailable now or in the future.</x:v>
      </x:c>
      <x:c r="S147" s="31" t="str">
        <x:v>Strong fit; sponsorship incompatible</x:v>
      </x:c>
      <x:c r="T147" s="31" t="str">
        <x:v>Recent-graduate eligibility through Spring 2027 and structured SDLC work align very well, but PayPal explicitly states visa sponsorship is unavailable for this role now or in the future.</x:v>
      </x:c>
      <x:c r="U147" s="31" t="str">
        <x:v>Not used</x:v>
      </x:c>
      <x:c r="V147" s="31" t="str">
        <x:v>None</x:v>
      </x:c>
      <x:c r="W147" s="31" t="str">
        <x:v>Halted after full description review because the requisition expressly rules out present and future visa sponsorship.</x:v>
      </x:c>
    </x:row>
    <x:row r="148">
      <x:c r="A148" s="28" t="str">
        <x:v>Sift</x:v>
      </x:c>
      <x:c r="B148" s="28" t="str">
        <x:v>Software Engineer – New College Graduate</x:v>
      </x:c>
      <x:c r="C148" s="28" t="str">
        <x:v>https://www.linkedin.com/jobs/view/4462478464/</x:v>
      </x:c>
      <x:c r="D148" s="28" t="str">
        <x:v>https://jobs.ashbyhq.com/siftstack/0d65481e-e762-4d8f-ae38-5040754a5134</x:v>
      </x:c>
      <x:c r="E148" s="29" t="str">
        <x:v>2026-09-03</x:v>
      </x:c>
      <x:c r="F148" s="29" t="str">
        <x:v>2026-09-07</x:v>
      </x:c>
      <x:c r="G148" s="29"/>
      <x:c r="H148" s="29"/>
      <x:c r="I148" s="28" t="str">
        <x:v>Halted</x:v>
      </x:c>
      <x:c r="J148" s="30" t="n">
        <x:v>100000</x:v>
      </x:c>
      <x:c r="K148" s="30" t="n">
        <x:v>140000</x:v>
      </x:c>
      <x:c r="L148" s="28" t="str">
        <x:v>15-1252</x:v>
      </x:c>
      <x:c r="M148" s="28" t="str">
        <x:v>Software Developers</x:v>
      </x:c>
      <x:c r="N148" s="31" t="str">
        <x:v>The Marina del Rey salary range is potentially viable at lower wage levels, but wage analysis cannot cure the independent ITAR/EAR U.S.-person restriction.</x:v>
      </x:c>
      <x:c r="O148" s="31" t="str">
        <x:v>Marina del Rey, CA</x:v>
      </x:c>
      <x:c r="P148" s="31"/>
      <x:c r="Q148" s="31" t="str">
        <x:v>Hybrid, in person Mondays and Thursdays plus one full week every two months</x:v>
      </x:c>
      <x:c r="R148" s="31" t="str">
        <x:v>Incompatible: posting requires a U.S. citizen, lawful permanent resident, asylee, refugee, or other protected individual under ITAR/EAR.</x:v>
      </x:c>
      <x:c r="S148" s="31" t="str">
        <x:v>Strong technical fit; work-authorization incompatible</x:v>
      </x:c>
      <x:c r="T148" s="31" t="str">
        <x:v>The new-graduate level, data systems, PostgreSQL, React/TypeScript, CI/CD and cloud stack align well, but F-1 status does not satisfy the posting's U.S.-person eligibility requirement.</x:v>
      </x:c>
      <x:c r="U148" s="31" t="str">
        <x:v>Not used</x:v>
      </x:c>
      <x:c r="V148" s="31" t="str">
        <x:v>None</x:v>
      </x:c>
      <x:c r="W148" s="31" t="str">
        <x:v>Halted after full description review because the mandatory U.S.-person requirement excludes the applicant.</x:v>
      </x:c>
    </x:row>
    <x:row r="149">
      <x:c r="A149" s="28" t="str">
        <x:v>Stripe</x:v>
      </x:c>
      <x:c r="B149" s="28" t="str">
        <x:v>Software Engineer, New Grad</x:v>
      </x:c>
      <x:c r="C149" s="28" t="str">
        <x:v>https://www.linkedin.com/jobs/view/4462058112/</x:v>
      </x:c>
      <x:c r="D149" s="28" t="str">
        <x:v>https://stripe.com/careers/apply/software-engineer-new-grad/8128744</x:v>
      </x:c>
      <x:c r="E149" s="29" t="str">
        <x:v>2026-09-02</x:v>
      </x:c>
      <x:c r="F149" s="29" t="str">
        <x:v>2026-09-07</x:v>
      </x:c>
      <x:c r="G149" s="29" t="str">
        <x:v>2026-09-07</x:v>
      </x:c>
      <x:c r="H149" s="29" t="str">
        <x:v>2026-09-07</x:v>
      </x:c>
      <x:c r="I149" s="28" t="str">
        <x:v>Submitted</x:v>
      </x:c>
      <x:c r="J149" s="30" t="n">
        <x:v>122100</x:v>
      </x:c>
      <x:c r="K149" s="30" t="n">
        <x:v>134400</x:v>
      </x:c>
      <x:c r="L149" s="28" t="str">
        <x:v>15-1252</x:v>
      </x:c>
      <x:c r="M149" s="28" t="str">
        <x:v>Software Developers</x:v>
      </x:c>
      <x:c r="N149" s="31" t="str">
        <x:v>The range is competitive for entry-level software development, with final location to be selected between Seattle and South San Francisco based on wage and lottery compatibility.</x:v>
      </x:c>
      <x:c r="O149" s="31" t="str">
        <x:v>Seattle, WA (provisional)</x:v>
      </x:c>
      <x:c r="P149" s="31" t="str">
        <x:v>South San Francisco, CA; New York listed on role page but form states new-grad opportunities are San Francisco and Seattle</x:v>
      </x:c>
      <x:c r="Q149" s="31" t="str">
        <x:v>Office-assigned; at least 50% in office in most locations</x:v>
      </x:c>
      <x:c r="R149" s="31" t="str">
        <x:v>Application explicitly asks about present or future sponsorship; no exclusion stated in the job description.</x:v>
      </x:c>
      <x:c r="S149" s="31" t="str">
        <x:v>Strong</x:v>
      </x:c>
      <x:c r="T149" s="31" t="str">
        <x:v>Degree timing, under-18-month non-intern experience threshold, internships, collaborative projects, programming fundamentals, production systems and AI-tool experience align closely.</x:v>
      </x:c>
      <x:c r="U149" s="31" t="str">
        <x:v>Yuxuan Chen Resume.pdf</x:v>
      </x:c>
      <x:c r="V149" s="31" t="str">
        <x:v>None</x:v>
      </x:c>
      <x:c r="W149" s="31" t="str">
        <x:v>Successfully submitted through Greenhouse after email security verification. Resume uploaded; optional transcript intentionally omitted. Seattle ranked first, San Francisco second, New York third. Full-stack, backend and infrastructure selected. Sponsorship disclosed.</x:v>
      </x:c>
    </x:row>
    <x:row r="150">
      <x:c r="A150" s="28" t="str">
        <x:v>Zip</x:v>
      </x:c>
      <x:c r="B150" s="28" t="str">
        <x:v>Software Engineer, New Grad (2027 Start)</x:v>
      </x:c>
      <x:c r="C150" s="28" t="str">
        <x:v>https://www.linkedin.com/jobs/view/4459046533/</x:v>
      </x:c>
      <x:c r="D150" s="28" t="str">
        <x:v>https://jobs.ashbyhq.com/zip/df6eb1ee-b360-46fe-b23f-658626ec59ea/application</x:v>
      </x:c>
      <x:c r="E150" s="29" t="str">
        <x:v>2026-08-31</x:v>
      </x:c>
      <x:c r="F150" s="29" t="str">
        <x:v>2026-09-07</x:v>
      </x:c>
      <x:c r="G150" s="29" t="str">
        <x:v>2026-09-07</x:v>
      </x:c>
      <x:c r="H150" s="29" t="str">
        <x:v>2026-09-07</x:v>
      </x:c>
      <x:c r="I150" s="28" t="str">
        <x:v>Submitted</x:v>
      </x:c>
      <x:c r="J150" s="30" t="n">
        <x:v>165000</x:v>
      </x:c>
      <x:c r="K150" s="30" t="n">
        <x:v>170000</x:v>
      </x:c>
      <x:c r="L150" s="28" t="str">
        <x:v>15-1252</x:v>
      </x:c>
      <x:c r="M150" s="28" t="str">
        <x:v>Software Developers</x:v>
      </x:c>
      <x:c r="N150" s="31" t="str">
        <x:v>The $165,000-$170,000 San Francisco range comfortably exceeds typical entry-level software-developer wage thresholds and is favorable for H-1B wage-level positioning.</x:v>
      </x:c>
      <x:c r="O150" s="31" t="str">
        <x:v>San Francisco, CA</x:v>
      </x:c>
      <x:c r="P150" s="31"/>
      <x:c r="Q150" s="31" t="str">
        <x:v>Hybrid, downtown San Francisco office 3 days per week</x:v>
      </x:c>
      <x:c r="R150" s="31" t="str">
        <x:v>Sponsorship requirement disclosed as yes; posting does not state an exclusion.</x:v>
      </x:c>
      <x:c r="S150" s="31" t="str">
        <x:v>Strong</x:v>
      </x:c>
      <x:c r="T150" s="31" t="str">
        <x:v>Exact December 2026 graduation eligibility, Python/TypeScript/React/API experience, internships, full-stack platform work and fast-moving product development align closely.</x:v>
      </x:c>
      <x:c r="U150" s="31" t="str">
        <x:v>Yuxuan_Chen_Resume_Zip_Software_Engineer_New_Grad_20260907.pdf</x:v>
      </x:c>
      <x:c r="V150" s="31" t="str">
        <x:v>None</x:v>
      </x:c>
      <x:c r="W150" s="31" t="str">
        <x:v>Successfully submitted through Ashby. Used tailored ATS resume emphasizing full-stack web applications, REST APIs, React, Python, scalable workflows, reliability and maintainability. Relocation assistance may be available.</x:v>
      </x:c>
    </x:row>
    <x:row r="151">
      <x:c r="A151" s="28" t="str">
        <x:v>Roblox</x:v>
      </x:c>
      <x:c r="B151" s="28" t="str">
        <x:v>[2027] Software Engineer, Early Career</x:v>
      </x:c>
      <x:c r="C151" s="28" t="str">
        <x:v>https://www.linkedin.com/jobs/view/4449138344/</x:v>
      </x:c>
      <x:c r="D151" s="28" t="str">
        <x:v>https://careers.roblox.com/jobs/8072244</x:v>
      </x:c>
      <x:c r="E151" s="29" t="str">
        <x:v>LinkedIn reposted 2026-08-31</x:v>
      </x:c>
      <x:c r="F151" s="29" t="str">
        <x:v>2026-09-07</x:v>
      </x:c>
      <x:c r="G151" s="29"/>
      <x:c r="H151" s="29"/>
      <x:c r="I151" s="28" t="str">
        <x:v>Halted</x:v>
      </x:c>
      <x:c r="J151" s="30" t="n">
        <x:v>153000</x:v>
      </x:c>
      <x:c r="K151" s="30" t="n">
        <x:v>153000</x:v>
      </x:c>
      <x:c r="L151" s="28" t="str">
        <x:v>15-1252</x:v>
      </x:c>
      <x:c r="M151" s="28" t="str">
        <x:v>Software Developers</x:v>
      </x:c>
      <x:c r="N151" s="31" t="str">
        <x:v>The fixed $153,000 San Mateo salary is strong for an early-career software role, but the posting's present inability to support future H-1B sponsorship independently makes the role incompatible.</x:v>
      </x:c>
      <x:c r="O151" s="31" t="str">
        <x:v>San Mateo, CA</x:v>
      </x:c>
      <x:c r="P151" s="31"/>
      <x:c r="Q151" s="31" t="str">
        <x:v>Hybrid, onsite Tuesday through Thursday</x:v>
      </x:c>
      <x:c r="R151" s="31" t="str">
        <x:v>Posting states the company may not be able to support future H-1B sponsorship at this time.</x:v>
      </x:c>
      <x:c r="S151" s="31" t="str">
        <x:v>Strong technical fit; sponsorship incompatible</x:v>
      </x:c>
      <x:c r="T151" s="31" t="str">
        <x:v>Early-career software, Python, LLMs, distributed systems, full lifecycle delivery and cross-functional engineering align closely, but future H-1B support is unavailable or materially restricted.</x:v>
      </x:c>
      <x:c r="U151" s="31" t="str">
        <x:v>Not used</x:v>
      </x:c>
      <x:c r="V151" s="31" t="str">
        <x:v>None</x:v>
      </x:c>
      <x:c r="W151" s="31" t="str">
        <x:v>Halted before resume tailoring because the job description explicitly warns that future H-1B sponsorship may not be supported.</x:v>
      </x:c>
    </x:row>
    <x:row r="152">
      <x:c r="A152" s="28" t="str">
        <x:v>Salesforce</x:v>
      </x:c>
      <x:c r="B152" s="28" t="str">
        <x:v>Software Engineering AMTS (College Grad)</x:v>
      </x:c>
      <x:c r="C152" s="28" t="str">
        <x:v>https://www.linkedin.com/jobs/view/4450629112/</x:v>
      </x:c>
      <x:c r="D152" s="28" t="str">
        <x:v>https://salesforce.wd12.myworkdayjobs.com/External_Career_Site/job/California---San-Francisco/Software-Engineering-AMTS--College-Grad-_JR355250-1</x:v>
      </x:c>
      <x:c r="E152" s="29" t="str">
        <x:v>LinkedIn reposted 2026-08-31; Workday originally 30+ days ago</x:v>
      </x:c>
      <x:c r="F152" s="29" t="str">
        <x:v>2026-09-07</x:v>
      </x:c>
      <x:c r="G152" s="29" t="str">
        <x:v>2026-09-07</x:v>
      </x:c>
      <x:c r="H152" s="29"/>
      <x:c r="I152" s="28" t="str">
        <x:v>Needs input</x:v>
      </x:c>
      <x:c r="J152" s="30" t="n">
        <x:v>110000</x:v>
      </x:c>
      <x:c r="K152" s="30" t="n">
        <x:v>153000</x:v>
      </x:c>
      <x:c r="L152" s="28" t="str">
        <x:v>15-1252</x:v>
      </x:c>
      <x:c r="M152" s="28" t="str">
        <x:v>Software Developers</x:v>
      </x:c>
      <x:c r="N152" s="31" t="str">
        <x:v>Seattle is provisionally preferred for wage-to-salary positioning. The nationwide range is $110,000-$153,000; SF/NYC pays $141,000-$163,000. Final worksite comparison should use the selected offer location.</x:v>
      </x:c>
      <x:c r="O152" s="31" t="str">
        <x:v>Seattle, WA (provisional)</x:v>
      </x:c>
      <x:c r="P152" s="31" t="str">
        <x:v>San Francisco, Palo Alto, Indianapolis, Bellevue and one additional Workday location</x:v>
      </x:c>
      <x:c r="Q152" s="31" t="str">
        <x:v>Office Tech-Flexible / hybrid</x:v>
      </x:c>
      <x:c r="R152" s="31" t="str">
        <x:v>Not excluded in the job description; future sponsorship will be disclosed in the application.</x:v>
      </x:c>
      <x:c r="S152" s="31" t="str">
        <x:v>Strong</x:v>
      </x:c>
      <x:c r="T152" s="31" t="str">
        <x:v>Java/Python/SQL, object-oriented design, cloud-scale services, automated testing, LLM coding tools and telemetry align closely with the role.</x:v>
      </x:c>
      <x:c r="U152" s="31" t="str">
        <x:v>Yuxuan_Chen_Resume_Salesforce_Software_Engineering_AMTS_20260907.pdf</x:v>
      </x:c>
      <x:c r="V152" s="31" t="str">
        <x:v>User must manually create or sign in to the Salesforce Workday account; do not share or store the password.</x:v>
      </x:c>
      <x:c r="W152" s="31" t="str">
        <x:v>Tailored ATS resume created and visually verified. Application is paused only at the mandatory Workday account login/create-account step.</x:v>
      </x:c>
    </x:row>
    <x:row r="153">
      <x:c r="A153" s="28" t="str">
        <x:v>WHOOP</x:v>
      </x:c>
      <x:c r="B153" s="28" t="str">
        <x:v>Software Engineer I (Backend)</x:v>
      </x:c>
      <x:c r="C153" s="28" t="str">
        <x:v>https://www.linkedin.com/jobs/view/4444963172/</x:v>
      </x:c>
      <x:c r="D153" s="28" t="str">
        <x:v>https://jobs.ashbyhq.com/whoop/0623a9e9-d7bb-4ee5-8100-51c68df81133/application</x:v>
      </x:c>
      <x:c r="E153" s="29" t="str">
        <x:v>LinkedIn reposted 2026-09-06</x:v>
      </x:c>
      <x:c r="F153" s="29" t="str">
        <x:v>2026-09-07</x:v>
      </x:c>
      <x:c r="G153" s="29"/>
      <x:c r="H153" s="29"/>
      <x:c r="I153" s="28" t="str">
        <x:v>Halted</x:v>
      </x:c>
      <x:c r="J153" s="30" t="n">
        <x:v>105000</x:v>
      </x:c>
      <x:c r="K153" s="30" t="n">
        <x:v>145000</x:v>
      </x:c>
      <x:c r="L153" s="28" t="str">
        <x:v>15-1252</x:v>
      </x:c>
      <x:c r="M153" s="28" t="str">
        <x:v>Software Developers</x:v>
      </x:c>
      <x:c r="N153" s="31" t="str">
        <x:v>Boston-area Level 1 compatibility may be possible within the range, but the role requires an immediate hire and is incompatible with the applicant's strict February 18, 2027 start date.</x:v>
      </x:c>
      <x:c r="O153" s="31" t="str">
        <x:v>Boston, MA</x:v>
      </x:c>
      <x:c r="P153" s="31"/>
      <x:c r="Q153" s="31" t="str">
        <x:v>On-site</x:v>
      </x:c>
      <x:c r="R153" s="31" t="str">
        <x:v>Not stated; WHOOP participates in E-Verify.</x:v>
      </x:c>
      <x:c r="S153" s="31" t="str">
        <x:v>Strong technical and location fit; start-date incompatible</x:v>
      </x:c>
      <x:c r="T153" s="31" t="str">
        <x:v>Java, REST APIs, PostgreSQL, AWS, backend systems, testing and internships align closely, but the posting explicitly seeks an immediate hire.</x:v>
      </x:c>
      <x:c r="U153" s="31" t="str">
        <x:v>Not used</x:v>
      </x:c>
      <x:c r="V153" s="31" t="str">
        <x:v>None</x:v>
      </x:c>
      <x:c r="W153" s="31" t="str">
        <x:v>Halted because earliest legal full-time start is 2027-02-18. The linked fall-2026 new-grad posting is closed.</x:v>
      </x:c>
    </x:row>
    <x:row r="154">
      <x:c r="A154" s="28" t="str">
        <x:v>Giga</x:v>
      </x:c>
      <x:c r="B154" s="28" t="str">
        <x:v>Software Engineer I / II</x:v>
      </x:c>
      <x:c r="C154" s="28" t="str">
        <x:v>https://www.linkedin.com/jobs/view/4374838577/</x:v>
      </x:c>
      <x:c r="D154" s="28" t="str">
        <x:v>https://jobs.ashbyhq.com/GigaML/ba9b543d-e85c-4bd1-978b-f838d7a4062f/application</x:v>
      </x:c>
      <x:c r="E154" s="29" t="str">
        <x:v>LinkedIn reposted 2026-09-06</x:v>
      </x:c>
      <x:c r="F154" s="29" t="str">
        <x:v>2026-09-07</x:v>
      </x:c>
      <x:c r="G154" s="29" t="str">
        <x:v>2026-09-07</x:v>
      </x:c>
      <x:c r="H154" s="29" t="str">
        <x:v>2026-09-07</x:v>
      </x:c>
      <x:c r="I154" s="28" t="str">
        <x:v>Rejected</x:v>
      </x:c>
      <x:c r="J154" s="30" t="n">
        <x:v>160000</x:v>
      </x:c>
      <x:c r="K154" s="30" t="n">
        <x:v>250000</x:v>
      </x:c>
      <x:c r="L154" s="28" t="str">
        <x:v>15-1252</x:v>
      </x:c>
      <x:c r="M154" s="28" t="str">
        <x:v>Software Developers</x:v>
      </x:c>
      <x:c r="N154" s="31" t="str">
        <x:v>NYC 15-1252 levels previously analyzed at approximately L1 $109,845, L2 $137,717, L3 $165,589 and L4 $193,461. The full range clears Level 2, nearly all clears Level 3, and the upper portion clears Level 4.</x:v>
      </x:c>
      <x:c r="O154" s="31" t="str">
        <x:v>New York, NY</x:v>
      </x:c>
      <x:c r="P154" s="31"/>
      <x:c r="Q154" s="31" t="str">
        <x:v>Fully on-site</x:v>
      </x:c>
      <x:c r="R154" s="31" t="str">
        <x:v>Sponsorship need disclosed as yes; application did not state an exclusion.</x:v>
      </x:c>
      <x:c r="S154" s="31" t="str">
        <x:v>Strong</x:v>
      </x:c>
      <x:c r="T154" s="31" t="str">
        <x:v>AI agents, backend APIs, data pipelines, integrations, telemetry, natural-language workflows and early-career project ownership align directly.</x:v>
      </x:c>
      <x:c r="U154" s="31" t="str">
        <x:v>Yuxuan_Chen_Resume_Giga_Software_Engineer_AI_Agents_20260907.pdf</x:v>
      </x:c>
      <x:c r="V154" s="31" t="str">
        <x:v>None</x:v>
      </x:c>
      <x:c r="W154" s="31" t="str">
        <x:v>Successfully submitted through Ashby with tailored AI-agent/backend resume. Disclosed U.S. presence, future sponsorship need, willingness to relocate to NYC, and acceptance of the startup's long-hours/high-performance culture. Rejection received from Giga Hiring Team on 2026-09-09 at 8:05 PM ET; email states the team decided not to move forward with the Software Engineer I / II - New York application.</x:v>
      </x:c>
    </x:row>
    <x:row r="155">
      <x:c r="A155" s="28" t="str">
        <x:v>Goldman Sachs</x:v>
      </x:c>
      <x:c r="B155" s="28" t="str">
        <x:v>Software Engineer, Global Banking &amp; Markets, AI/ML Technology</x:v>
      </x:c>
      <x:c r="C155" s="28" t="str">
        <x:v>https://www.linkedin.com/jobs/view/4454402371/</x:v>
      </x:c>
      <x:c r="D155" s="28" t="str">
        <x:v>https://hdpc.fa.us2.oraclecloud.com/hcmUI/CandidateExperience/en/job/177423/</x:v>
      </x:c>
      <x:c r="E155" s="29" t="str">
        <x:v>LinkedIn reposted 2026-09-07</x:v>
      </x:c>
      <x:c r="F155" s="29" t="str">
        <x:v>2026-09-07</x:v>
      </x:c>
      <x:c r="G155" s="29"/>
      <x:c r="H155" s="29"/>
      <x:c r="I155" s="28" t="str">
        <x:v>Halted</x:v>
      </x:c>
      <x:c r="J155" s="30" t="n">
        <x:v>115000</x:v>
      </x:c>
      <x:c r="K155" s="30" t="n">
        <x:v>180000</x:v>
      </x:c>
      <x:c r="L155" s="28" t="str">
        <x:v>15-1252</x:v>
      </x:c>
      <x:c r="M155" s="28" t="str">
        <x:v>Software Developers</x:v>
      </x:c>
      <x:c r="N155" s="31" t="str">
        <x:v>The NYC range spans approximately Level 1 through Level 3 and is salary-compatible, but experience requirements independently make the role unrealistic.</x:v>
      </x:c>
      <x:c r="O155" s="31" t="str">
        <x:v>New York, NY</x:v>
      </x:c>
      <x:c r="P155" s="31"/>
      <x:c r="Q155" s="31" t="str">
        <x:v>On-site</x:v>
      </x:c>
      <x:c r="R155" s="31" t="str">
        <x:v>Not stated</x:v>
      </x:c>
      <x:c r="S155" s="31" t="str">
        <x:v>Low to moderate</x:v>
      </x:c>
      <x:c r="T155" s="31" t="str">
        <x:v>AI-assisted engineering, cloud, Docker, CI/CD and SQL overlap, but the role requires 2+ years professional Java 17+, concurrency, Kafka/event-driven distributed systems and production-grade observability.</x:v>
      </x:c>
      <x:c r="U155" s="31" t="str">
        <x:v>Not used</x:v>
      </x:c>
      <x:c r="V155" s="31" t="str">
        <x:v>None</x:v>
      </x:c>
      <x:c r="W155" s="31" t="str">
        <x:v>Halted after full description review because the mandatory professional Java and distributed-systems experience is not met.</x:v>
      </x:c>
    </x:row>
    <x:row r="156">
      <x:c r="A156" s="28" t="str">
        <x:v>Leaf Health</x:v>
      </x:c>
      <x:c r="B156" s="28" t="str">
        <x:v>Software Engineer — LeafEnterprise</x:v>
      </x:c>
      <x:c r="C156" s="28" t="str">
        <x:v>https://www.linkedin.com/jobs/view/4462954815/</x:v>
      </x:c>
      <x:c r="D156" s="28" t="str">
        <x:v>Not opened; LinkedIn external application</x:v>
      </x:c>
      <x:c r="E156" s="29" t="str">
        <x:v>2026-09-07 (within one hour when reviewed)</x:v>
      </x:c>
      <x:c r="F156" s="29" t="str">
        <x:v>2026-09-07</x:v>
      </x:c>
      <x:c r="G156" s="29"/>
      <x:c r="H156" s="29"/>
      <x:c r="I156" s="28" t="str">
        <x:v>Halted</x:v>
      </x:c>
      <x:c r="J156" s="30" t="n">
        <x:v>80000</x:v>
      </x:c>
      <x:c r="K156" s="30" t="n">
        <x:v>100000</x:v>
      </x:c>
      <x:c r="L156" s="28" t="str">
        <x:v>15-1252</x:v>
      </x:c>
      <x:c r="M156" s="28" t="str">
        <x:v>Software Developers</x:v>
      </x:c>
      <x:c r="N156" s="31" t="str">
        <x:v>The $80,000-$100,000 Austin range may only partially satisfy the applicable Level 1 wage depending on the exact worksite and prevailing-wage source; sponsorship incompatibility independently disqualifies the role.</x:v>
      </x:c>
      <x:c r="O156" s="31" t="str">
        <x:v>Austin, TX</x:v>
      </x:c>
      <x:c r="P156" s="31"/>
      <x:c r="Q156" s="31" t="str">
        <x:v>On-site</x:v>
      </x:c>
      <x:c r="R156" s="31" t="str">
        <x:v>Posting explicitly states Leaf Health is unable to sponsor or assume sponsorship now or in the future.</x:v>
      </x:c>
      <x:c r="S156" s="31" t="str">
        <x:v>Strong technical overlap; sponsorship incompatible</x:v>
      </x:c>
      <x:c r="T156" s="31" t="str">
        <x:v>Python, SQL, APIs, React/Next.js, testing, data workflows and end-to-end product ownership align, and exceptional recent graduates are encouraged, but future visa sponsorship is explicitly unavailable.</x:v>
      </x:c>
      <x:c r="U156" s="31" t="str">
        <x:v>Not used</x:v>
      </x:c>
      <x:c r="V156" s="31" t="str">
        <x:v>None</x:v>
      </x:c>
      <x:c r="W156" s="31" t="str">
        <x:v>Halted immediately after full-description review because the employer explicitly excludes present and future employment-visa sponsorship.</x:v>
      </x:c>
    </x:row>
    <x:row r="157">
      <x:c r="A157" s="28" t="str">
        <x:v>Jobright.ai</x:v>
      </x:c>
      <x:c r="B157" s="28" t="str">
        <x:v>Data Scientist, Early Career</x:v>
      </x:c>
      <x:c r="C157" s="28" t="str">
        <x:v>https://www.linkedin.com/jobs/view/4462962860/</x:v>
      </x:c>
      <x:c r="D157" s="28" t="str">
        <x:v>https://jobright.ai/jobs/info/b2b_1770934904391_331</x:v>
      </x:c>
      <x:c r="E157" s="29" t="str">
        <x:v>2026-09-07 (within one hour when reviewed)</x:v>
      </x:c>
      <x:c r="F157" s="29" t="str">
        <x:v>2026-09-07</x:v>
      </x:c>
      <x:c r="G157" s="29" t="str">
        <x:v>2026-09-07</x:v>
      </x:c>
      <x:c r="H157" s="29"/>
      <x:c r="I157" s="28" t="str">
        <x:v>Needs input</x:v>
      </x:c>
      <x:c r="J157" s="30" t="n">
        <x:v>70000</x:v>
      </x:c>
      <x:c r="K157" s="30" t="n">
        <x:v>100000</x:v>
      </x:c>
      <x:c r="L157" s="28" t="str">
        <x:v>15-2051</x:v>
      </x:c>
      <x:c r="M157" s="28" t="str">
        <x:v>Data Scientists</x:v>
      </x:c>
      <x:c r="N157" s="31" t="str">
        <x:v>Remote U.S. worksite is not specified, so a defensible location-specific Level 1 comparison cannot yet be made. The $70,000-$100,000 range may clear Level 1 only in lower-cost worksite areas; Jobright labels the employer as H-1B sponsored.</x:v>
      </x:c>
      <x:c r="O157" s="31" t="str">
        <x:v>Remote U.S. (worksite pending)</x:v>
      </x:c>
      <x:c r="P157" s="31"/>
      <x:c r="Q157" s="31" t="str">
        <x:v>Remote</x:v>
      </x:c>
      <x:c r="R157" s="31" t="str">
        <x:v>Jobright displays an H1B Sponsored indicator; the description requires current U.S. work authorization but does not explicitly exclude future sponsorship.</x:v>
      </x:c>
      <x:c r="S157" s="31" t="str">
        <x:v>Strong technical fit; account and worksite verification pending</x:v>
      </x:c>
      <x:c r="T157" s="31" t="str">
        <x:v>0-2 years, Python, ML libraries, LLM evaluation, NLP/agents, data pipelines, SQL and cloud experience align closely with the resume.</x:v>
      </x:c>
      <x:c r="U157" s="31" t="str">
        <x:v>Not uploaded yet</x:v>
      </x:c>
      <x:c r="V157" s="31" t="str">
        <x:v>Manual Jobright account sign-up/sign-in is required because it involves authentication credentials; worksite and February 2027 start-date acceptance also require employer confirmation.</x:v>
      </x:c>
      <x:c r="W157" s="31" t="str">
        <x:v>Application flow reached the Jobright sign-up dialog. Paused at account creation; no password was requested or stored. Transcript not requested.</x:v>
      </x:c>
    </x:row>
    <x:row r="158">
      <x:c r="A158" s="28" t="str">
        <x:v>OneStream Software</x:v>
      </x:c>
      <x:c r="B158" s="28" t="str">
        <x:v>Software Engineer I</x:v>
      </x:c>
      <x:c r="C158" s="28" t="str">
        <x:v>https://www.linkedin.com/jobs/view/4456952790/</x:v>
      </x:c>
      <x:c r="D158" s="28" t="str">
        <x:v>Not opened; LinkedIn external application</x:v>
      </x:c>
      <x:c r="E158" s="29" t="str">
        <x:v>Approximately 2026-08-31</x:v>
      </x:c>
      <x:c r="F158" s="29" t="str">
        <x:v>2026-09-07</x:v>
      </x:c>
      <x:c r="G158" s="29"/>
      <x:c r="H158" s="29"/>
      <x:c r="I158" s="28" t="str">
        <x:v>Halted</x:v>
      </x:c>
      <x:c r="J158" s="30" t="n">
        <x:v>99000</x:v>
      </x:c>
      <x:c r="K158" s="30" t="n">
        <x:v>128500</x:v>
      </x:c>
      <x:c r="L158" s="28" t="str">
        <x:v>15-1252</x:v>
      </x:c>
      <x:c r="M158" s="28" t="str">
        <x:v>Software Developers</x:v>
      </x:c>
      <x:c r="N158" s="31" t="str">
        <x:v>Remote worksite is unspecified. The range may meet Level 1 in many locations, but sponsorship incompatibility independently disqualifies the position.</x:v>
      </x:c>
      <x:c r="O158" s="31" t="str">
        <x:v>Remote U.S. (worksite undisclosed)</x:v>
      </x:c>
      <x:c r="P158" s="31"/>
      <x:c r="Q158" s="31" t="str">
        <x:v>Remote</x:v>
      </x:c>
      <x:c r="R158" s="31" t="str">
        <x:v>Posting requires authorization to work for any company without sponsorship; future H-1B sponsorship is incompatible.</x:v>
      </x:c>
      <x:c r="S158" s="31" t="str">
        <x:v>Low to moderate; sponsorship incompatible</x:v>
      </x:c>
      <x:c r="T158" s="31" t="str">
        <x:v>React, REST APIs, SQL, Git, CI/CD and cloud experience overlap, but the role requires 2-4 professional years and a C#/.NET/ASP.NET stack not established in the resume.</x:v>
      </x:c>
      <x:c r="U158" s="31" t="str">
        <x:v>Not used</x:v>
      </x:c>
      <x:c r="V158" s="31" t="str">
        <x:v>None</x:v>
      </x:c>
      <x:c r="W158" s="31" t="str">
        <x:v>Halted after full-description review because both the no-sponsorship requirement and mandatory .NET experience make the role unsuitable.</x:v>
      </x:c>
    </x:row>
    <x:row r="159">
      <x:c r="A159" s="28" t="str">
        <x:v>DV Trading</x:v>
      </x:c>
      <x:c r="B159" s="28" t="str">
        <x:v>2027 Graduate Software Engineer (DV Commodities)</x:v>
      </x:c>
      <x:c r="C159" s="28" t="str">
        <x:v>https://www.linkedin.com/jobs/view/4451616486/</x:v>
      </x:c>
      <x:c r="D159" s="28" t="str">
        <x:v>https://job-boards.greenhouse.io/dvtrading/jobs/4719126005</x:v>
      </x:c>
      <x:c r="E159" s="29" t="str">
        <x:v>LinkedIn reposted 2026-09-08</x:v>
      </x:c>
      <x:c r="F159" s="29" t="str">
        <x:v>2026-09-08</x:v>
      </x:c>
      <x:c r="G159" s="29" t="str">
        <x:v>2026-09-08</x:v>
      </x:c>
      <x:c r="H159" s="29" t="str">
        <x:v>2026-09-08</x:v>
      </x:c>
      <x:c r="I159" s="28" t="str">
        <x:v>Submitted</x:v>
      </x:c>
      <x:c r="J159" s="30" t="n">
        <x:v>135000</x:v>
      </x:c>
      <x:c r="K159" s="30" t="n">
        <x:v>150000</x:v>
      </x:c>
      <x:c r="L159" s="28" t="str">
        <x:v>15-1252</x:v>
      </x:c>
      <x:c r="M159" s="28" t="str">
        <x:v>Software Developers</x:v>
      </x:c>
      <x:c r="N159" s="31" t="str">
        <x:v>NYC 15-1252 levels previously analyzed at approximately L1 $109,845, L2 $137,717, L3 $165,589 and L4 $193,461. The full range clears Level 1; compensation from about $137,717 clears Level 2.</x:v>
      </x:c>
      <x:c r="O159" s="31" t="str">
        <x:v>New York, NY</x:v>
      </x:c>
      <x:c r="P159" s="31"/>
      <x:c r="Q159" s="31" t="str">
        <x:v>On-site, 5 days/week</x:v>
      </x:c>
      <x:c r="R159" s="31" t="str">
        <x:v>Application accepted current F-1/OPT status and future sponsorship disclosure; external sponsorship-history signal indicates H-1B sponsorship is likely but not guaranteed for this requisition.</x:v>
      </x:c>
      <x:c r="S159" s="31" t="str">
        <x:v>Strong</x:v>
      </x:c>
      <x:c r="T159" s="31" t="str">
        <x:v>December 2026 graduation, Python in Linux/cloud environments, concurrent workload profiling, latency/throughput analysis, AI-assisted engineering, end-to-end ownership, and quantitative economics training align closely.</x:v>
      </x:c>
      <x:c r="U159" s="31" t="str">
        <x:v>Yuxuan_Chen_Resume_DV_Trading_Graduate_Software_Engineer_20260908.pdf</x:v>
      </x:c>
      <x:c r="V159" s="31" t="str">
        <x:v>None</x:v>
      </x:c>
      <x:c r="W159" s="31" t="str">
        <x:v>Successfully submitted through Greenhouse. Disclosed F-1 status, post-completion OPT dates, STEM eligibility, and future H-1B sponsorship need. Selected Computer Science and Economics undergraduate disciplines; proprietary-trading internship experience answered No. Used revised full-page ATS resume; optional cover letter omitted and no transcript requested.</x:v>
      </x:c>
    </x:row>
    <x:row r="160">
      <x:c r="A160" s="28" t="str">
        <x:v>Canonical</x:v>
      </x:c>
      <x:c r="B160" s="28" t="str">
        <x:v>Software Engineer - Python - Cloud - graduate level</x:v>
      </x:c>
      <x:c r="C160" s="28" t="str">
        <x:v>https://www.linkedin.com/jobs/view/4434152039/</x:v>
      </x:c>
      <x:c r="D160" s="28" t="str">
        <x:v>https://job-boards.greenhouse.io/canonical/jobs/3257589?gh_src=1943652a1</x:v>
      </x:c>
      <x:c r="E160" s="29" t="str">
        <x:v>LinkedIn reposted approximately 2026-09-04</x:v>
      </x:c>
      <x:c r="F160" s="29" t="str">
        <x:v>2026-09-08</x:v>
      </x:c>
      <x:c r="G160" s="29"/>
      <x:c r="H160" s="29"/>
      <x:c r="I160" s="28" t="str">
        <x:v>Halted</x:v>
      </x:c>
      <x:c r="J160" s="30"/>
      <x:c r="K160" s="30"/>
      <x:c r="L160" s="28" t="str">
        <x:v>15-1252</x:v>
      </x:c>
      <x:c r="M160" s="28" t="str">
        <x:v>Software Developers</x:v>
      </x:c>
      <x:c r="N160" s="31" t="str">
        <x:v>Remote Americas; salary and employing worksite are not disclosed, so location-specific Level 1 compatibility cannot be established.</x:v>
      </x:c>
      <x:c r="O160" s="31" t="str">
        <x:v>Remote U.S. (worksite pending)</x:v>
      </x:c>
      <x:c r="P160" s="31"/>
      <x:c r="Q160" s="31" t="str">
        <x:v>Remote</x:v>
      </x:c>
      <x:c r="R160" s="31" t="str">
        <x:v>Not stated</x:v>
      </x:c>
      <x:c r="S160" s="31" t="str">
        <x:v>Moderate technical fit; application-answer restriction</x:v>
      </x:c>
      <x:c r="T160" s="31" t="str">
        <x:v>Python, Linux, APIs, cloud and distributed-service experience overlap, but the application asks for Go or Rust experience not established by the resume and requires detailed academic-performance evidence.</x:v>
      </x:c>
      <x:c r="U160" s="31" t="str">
        <x:v>Not used</x:v>
      </x:c>
      <x:c r="V160" s="31" t="str">
        <x:v>The employer explicitly requires narrative answers to be solely the applicant's own words and warns that AI-generated content is disqualifying.</x:v>
      </x:c>
      <x:c r="W160" s="31" t="str">
        <x:v>Halted after full application review. Mandatory fields include high-school mathematics and native-language performance with supporting evidence, undergraduate result/GPA, Go or Rust experience, and multiple original narrative responses. The applicant has not supplied personal responses suitable for this employer's no-AI requirement.</x:v>
      </x:c>
    </x:row>
    <x:row r="161">
      <x:c r="A161" s="28" t="str">
        <x:v>Insperity</x:v>
      </x:c>
      <x:c r="B161" s="28" t="str">
        <x:v>Artificial Intelligence Engineer I</x:v>
      </x:c>
      <x:c r="C161" s="28" t="str">
        <x:v>https://www.linkedin.com/jobs/view/4453594922/</x:v>
      </x:c>
      <x:c r="D161" s="28" t="str">
        <x:v>https://insperity.wd12.myworkdayjobs.com/NSP/job/Kingwood-TX/Artificial-Intelligence-Engineer-I_JR103100/apply?source=LinkedIn</x:v>
      </x:c>
      <x:c r="E161" s="29" t="str">
        <x:v>LinkedIn reposted approximately 2026-09-05</x:v>
      </x:c>
      <x:c r="F161" s="29" t="str">
        <x:v>2026-09-08</x:v>
      </x:c>
      <x:c r="G161" s="29" t="str">
        <x:v>2026-09-08</x:v>
      </x:c>
      <x:c r="H161" s="29"/>
      <x:c r="I161" s="28" t="str">
        <x:v>Needs input</x:v>
      </x:c>
      <x:c r="J161" s="30"/>
      <x:c r="K161" s="30"/>
      <x:c r="L161" s="28" t="str">
        <x:v>15-2051</x:v>
      </x:c>
      <x:c r="M161" s="28" t="str">
        <x:v>Data Scientists</x:v>
      </x:c>
      <x:c r="N161" s="31" t="str">
        <x:v>Houston-Pasadena-The Woodlands Data Scientists Level 1 is $70,658, Level 2 $93,226, Level 3 $115,794 and Level 4 $138,362. Salary is not disclosed, so final Level 1 compatibility cannot be confirmed before compensation is known.</x:v>
      </x:c>
      <x:c r="O161" s="31" t="str">
        <x:v>Kingwood / Houston, TX</x:v>
      </x:c>
      <x:c r="P161" s="31"/>
      <x:c r="Q161" s="31" t="str">
        <x:v>Remote per LinkedIn; official requisition is associated with Kingwood, TX</x:v>
      </x:c>
      <x:c r="R161" s="31" t="str">
        <x:v>Not stated in the posting; this requisition remains unconfirmed for sponsorship.</x:v>
      </x:c>
      <x:c r="S161" s="31" t="str">
        <x:v>Exceptional</x:v>
      </x:c>
      <x:c r="T161" s="31" t="str">
        <x:v>Direct early-career match for Python, SQL, APIs, LLM applications, RAG, evaluation datasets, Git, testing, deployment and data-quality work; the role explicitly accepts 0-2 years of experience.</x:v>
      </x:c>
      <x:c r="U161" s="31" t="str">
        <x:v>Planned reuse: Yuxuan_Chen_Resume_Giga_Software_Engineer_AI_Agents_20260907.pdf</x:v>
      </x:c>
      <x:c r="V161" s="31" t="str">
        <x:v>Workday requires the applicant to create or sign into an account with a personal password before the remaining form and sponsorship questions can be reviewed.</x:v>
      </x:c>
      <x:c r="W161" s="31" t="str">
        <x:v>Official Workday flow reviewed. It has six steps and requires account creation/sign-in before My Information, My Experience, Application Questions, Voluntary Disclosures and Review. Existing AI Agents resume is sufficiently matched; no new version was created. Transcript is not requested at the visible stage.</x:v>
      </x:c>
    </x:row>
    <x:row r="162">
      <x:c r="A162" s="28" t="str">
        <x:v>Giftogram</x:v>
      </x:c>
      <x:c r="B162" s="28" t="str">
        <x:v>Junior Full Stack Developer</x:v>
      </x:c>
      <x:c r="C162" s="28" t="str">
        <x:v>https://www.linkedin.com/jobs/view/4464626208/</x:v>
      </x:c>
      <x:c r="D162" s="28" t="str">
        <x:v>https://grnh.se/9km9bh8g9us</x:v>
      </x:c>
      <x:c r="E162" s="29" t="str">
        <x:v>2026-09-08 (minutes old when reviewed)</x:v>
      </x:c>
      <x:c r="F162" s="29" t="str">
        <x:v>2026-09-08</x:v>
      </x:c>
      <x:c r="G162" s="29"/>
      <x:c r="H162" s="29"/>
      <x:c r="I162" s="28" t="str">
        <x:v>Halted</x:v>
      </x:c>
      <x:c r="J162" s="30" t="n">
        <x:v>65000</x:v>
      </x:c>
      <x:c r="K162" s="30" t="n">
        <x:v>80000</x:v>
      </x:c>
      <x:c r="L162" s="28" t="str">
        <x:v>15-1252</x:v>
      </x:c>
      <x:c r="M162" s="28" t="str">
        <x:v>Software Developers</x:v>
      </x:c>
      <x:c r="N162" s="31" t="str">
        <x:v>Whippany is in the New York-Newark-Jersey City wage area. SOC 15-1252 Level 1 is $109,845; the entire $65,000-$80,000 range falls below Level 1.</x:v>
      </x:c>
      <x:c r="O162" s="31" t="str">
        <x:v>Whippany, NJ</x:v>
      </x:c>
      <x:c r="P162" s="31"/>
      <x:c r="Q162" s="31" t="str">
        <x:v>Hybrid, approximately 3 days/week on-site</x:v>
      </x:c>
      <x:c r="R162" s="31" t="str">
        <x:v>Not stated</x:v>
      </x:c>
      <x:c r="S162" s="31" t="str">
        <x:v>Strong technical fit; wage incompatible</x:v>
      </x:c>
      <x:c r="T162" s="31" t="str">
        <x:v>The 0-2 year requirement and React, JavaScript, SQL, REST API, testing and full-stack work align well. PHP/Laravel is a learnable gap.</x:v>
      </x:c>
      <x:c r="U162" s="31" t="str">
        <x:v>Not used</x:v>
      </x:c>
      <x:c r="V162" s="31" t="str">
        <x:v>None</x:v>
      </x:c>
      <x:c r="W162" s="31" t="str">
        <x:v>Halted before application because the posted maximum is $29,845 below the applicable H-1B Level 1 wage. No new resume was created.</x:v>
      </x:c>
    </x:row>
    <x:row r="163">
      <x:c r="A163" s="28" t="str">
        <x:v>Uniswap Labs</x:v>
      </x:c>
      <x:c r="B163" s="28" t="str">
        <x:v>Software Engineer - Early Career</x:v>
      </x:c>
      <x:c r="C163" s="28" t="str">
        <x:v>https://www.linkedin.com/jobs/view/4453380670/</x:v>
      </x:c>
      <x:c r="D163" s="28" t="str">
        <x:v>https://jobs.ashbyhq.com/uniswap/fb4d4137-f003-4669-beb7-2a5caca88012/application</x:v>
      </x:c>
      <x:c r="E163" s="29" t="str">
        <x:v>LinkedIn reposted approximately 2026-09-04</x:v>
      </x:c>
      <x:c r="F163" s="29" t="str">
        <x:v>2026-09-08</x:v>
      </x:c>
      <x:c r="G163" s="29"/>
      <x:c r="H163" s="29"/>
      <x:c r="I163" s="28" t="str">
        <x:v>Halted</x:v>
      </x:c>
      <x:c r="J163" s="30" t="n">
        <x:v>138400</x:v>
      </x:c>
      <x:c r="K163" s="30" t="n">
        <x:v>198000</x:v>
      </x:c>
      <x:c r="L163" s="28" t="str">
        <x:v>15-1252</x:v>
      </x:c>
      <x:c r="M163" s="28" t="str">
        <x:v>Software Developers</x:v>
      </x:c>
      <x:c r="N163" s="31" t="str">
        <x:v>New York-Newark-Jersey City SOC 15-1252 levels are L1 $109,845, L2 $137,717, L3 $165,589 and L4 $193,461. The entire range clears Level 2 and reaches Level 4.</x:v>
      </x:c>
      <x:c r="O163" s="31" t="str">
        <x:v>New York, NY</x:v>
      </x:c>
      <x:c r="P163" s="31"/>
      <x:c r="Q163" s="31" t="str">
        <x:v>On-site, 5 days/week</x:v>
      </x:c>
      <x:c r="R163" s="31" t="str">
        <x:v>Not stated; E-Verify participation is disclosed but does not establish H-1B sponsorship.</x:v>
      </x:c>
      <x:c r="S163" s="31" t="str">
        <x:v>Strong general fit; graduation-date ineligible</x:v>
      </x:c>
      <x:c r="T163" s="31" t="str">
        <x:v>Full-stack flexibility, shipped projects, research and strong Python/TypeScript fundamentals align, but the mandatory graduation window ends September 2026 while the master's graduation is December 2026.</x:v>
      </x:c>
      <x:c r="U163" s="31" t="str">
        <x:v>Not used</x:v>
      </x:c>
      <x:c r="V163" s="31" t="str">
        <x:v>None</x:v>
      </x:c>
      <x:c r="W163" s="31" t="str">
        <x:v>Halted because the stated degree-completion window is December 2024 through September 2026, which excludes the December 2026 graduation date. No new resume was created.</x:v>
      </x:c>
    </x:row>
    <x:row r="164">
      <x:c r="A164" s="28" t="str">
        <x:v>Relate Search client (undisclosed packaging company)</x:v>
      </x:c>
      <x:c r="B164" s="28" t="str">
        <x:v>Software Engineer</x:v>
      </x:c>
      <x:c r="C164" s="28" t="str">
        <x:v>https://www.linkedin.com/jobs/view/4463622807/</x:v>
      </x:c>
      <x:c r="D164" s="28" t="str">
        <x:v>https://www.linkedin.com/jobs/view/4463622807/apply/?openSDUIApplyFlow=true</x:v>
      </x:c>
      <x:c r="E164" s="29" t="str">
        <x:v>2026-09-08 (minutes old when reviewed)</x:v>
      </x:c>
      <x:c r="F164" s="29" t="str">
        <x:v>2026-09-08</x:v>
      </x:c>
      <x:c r="G164" s="29" t="str">
        <x:v>2026-09-08</x:v>
      </x:c>
      <x:c r="H164" s="29"/>
      <x:c r="I164" s="28" t="str">
        <x:v>Needs input</x:v>
      </x:c>
      <x:c r="J164" s="30"/>
      <x:c r="K164" s="30"/>
      <x:c r="L164" s="28" t="str">
        <x:v>15-1252</x:v>
      </x:c>
      <x:c r="M164" s="28" t="str">
        <x:v>Software Developers</x:v>
      </x:c>
      <x:c r="N164" s="31" t="str">
        <x:v>Cincinnati, Ohio; salary is not disclosed, so Level 1 compatibility cannot be confirmed before compensation is known.</x:v>
      </x:c>
      <x:c r="O164" s="31" t="str">
        <x:v>Cincinnati, OH</x:v>
      </x:c>
      <x:c r="P164" s="31"/>
      <x:c r="Q164" s="31" t="str">
        <x:v>Fully on-site</x:v>
      </x:c>
      <x:c r="R164" s="31" t="str">
        <x:v>Not stated; end employer is undisclosed</x:v>
      </x:c>
      <x:c r="S164" s="31" t="str">
        <x:v>Strong technical fit; employer and compensation unverified</x:v>
      </x:c>
      <x:c r="T164" s="31" t="str">
        <x:v>React, PostgreSQL, AWS, full-stack ownership, AI-assisted coding and workflow automation align closely with the resume.</x:v>
      </x:c>
      <x:c r="U164" s="31" t="str">
        <x:v>Planned reuse: Yuxuan_Chen_Resume_Salesforce_Software_Engineering_AMTS_20260907.pdf</x:v>
      </x:c>
      <x:c r="V164" s="31" t="str">
        <x:v>None about applicant data; LinkedIn's required mobile-phone field does not retain the entered value, preventing the form from advancing.</x:v>
      </x:c>
      <x:c r="W164" s="31" t="str">
        <x:v>Application opened and contact step attempted. Repeated paced phone entry did not persist. No new resume was created because the existing full-stack/AMTS version is suitable.</x:v>
      </x:c>
    </x:row>
    <x:row r="165">
      <x:c r="A165" s="28" t="str">
        <x:v>Yara AI</x:v>
      </x:c>
      <x:c r="B165" s="28" t="str">
        <x:v>Software Engineer (New Grad)</x:v>
      </x:c>
      <x:c r="C165" s="28" t="str">
        <x:v>https://www.linkedin.com/jobs/view/4464452422/</x:v>
      </x:c>
      <x:c r="D165" s="28" t="str">
        <x:v>https://yara.so/jobs/yara-software-engineer-new-grad-1c6583a2</x:v>
      </x:c>
      <x:c r="E165" s="29" t="str">
        <x:v>LinkedIn posted 2026-09-08</x:v>
      </x:c>
      <x:c r="F165" s="29" t="str">
        <x:v>2026-09-08</x:v>
      </x:c>
      <x:c r="G165" s="29"/>
      <x:c r="H165" s="29"/>
      <x:c r="I165" s="28" t="str">
        <x:v>Submitted</x:v>
      </x:c>
      <x:c r="J165" s="30" t="n">
        <x:v>100000</x:v>
      </x:c>
      <x:c r="K165" s="30" t="n">
        <x:v>180000</x:v>
      </x:c>
      <x:c r="L165" s="28" t="str">
        <x:v>15-1252</x:v>
      </x:c>
      <x:c r="M165" s="28" t="str">
        <x:v>Software Developers</x:v>
      </x:c>
      <x:c r="N165" s="31" t="str">
        <x:v>Yara is a matching network and says compensation varies by the eventual company. For remote work from Malden, Boston-Cambridge-Newton Level 1 is $114,275, Level 2 is $139,818, Level 3 is $165,381 and Level 4 is $190,923. Offers of at least $114,275 within the $100,000-$180,000 range clear Level 1.</x:v>
      </x:c>
      <x:c r="O165" s="31" t="str">
        <x:v>Boston, MA / remote</x:v>
      </x:c>
      <x:c r="P165" s="31" t="str">
        <x:v>San Francisco, New York, Seattle, Austin and other remote U.S. roles</x:v>
      </x:c>
      <x:c r="Q165" s="31" t="str">
        <x:v>Remote preferred; hybrid and on-site acceptable</x:v>
      </x:c>
      <x:c r="R165" s="31" t="str">
        <x:v>The official form explicitly allows selecting both current U.S. work authorization and a need for sponsorship. Final employer sponsorship availability will vary across Yara network matches.</x:v>
      </x:c>
      <x:c r="S165" s="31" t="str">
        <x:v>Exceptional new-grad fit</x:v>
      </x:c>
      <x:c r="T165" s="31" t="str">
        <x:v>The role targets new graduates with TypeScript or Python, a strong GitHub portfolio, deployed projects and LLM work beyond chat wrappers. The GEO platform and agentic browser project align directly, and the December 2026 graduation fits the 2027 start timeline.</x:v>
      </x:c>
      <x:c r="U165" s="31" t="str">
        <x:v>Yuxuan_Chen_Resume_Giga_Software_Engineer_AI_Agents_20260907.pdf</x:v>
      </x:c>
      <x:c r="V165" s="31" t="str">
        <x:v>None</x:v>
      </x:c>
      <x:c r="W165" s="31" t="str">
        <x:v>Submitted successfully through the official Yara three-step application on 2026-09-08 after the custom uploader recovered; authoritative “Thank you for applying” confirmation received. Selected remote, hybrid and on-site; Remote, Boston, New York, San Francisco, Seattle and Austin; $120,000-$180,000 base expectations; and future sponsorship needed. No transcript submitted.</x:v>
      </x:c>
    </x:row>
    <x:row r="166">
      <x:c r="A166" s="28" t="str">
        <x:v>Pave Finance</x:v>
      </x:c>
      <x:c r="B166" s="28" t="str">
        <x:v>Software Engineer 1</x:v>
      </x:c>
      <x:c r="C166" s="28" t="str">
        <x:v>https://www.linkedin.com/jobs/view/4463106891/</x:v>
      </x:c>
      <x:c r="D166" s="28" t="str">
        <x:v>https://www.linkedin.com/jobs/view/4463106891/apply/?openSDUIApplyFlow=true</x:v>
      </x:c>
      <x:c r="E166" s="29" t="str">
        <x:v>2026-09-04</x:v>
      </x:c>
      <x:c r="F166" s="29" t="str">
        <x:v>2026-09-08</x:v>
      </x:c>
      <x:c r="G166" s="29" t="str">
        <x:v>2026-09-08</x:v>
      </x:c>
      <x:c r="H166" s="29"/>
      <x:c r="I166" s="28" t="str">
        <x:v>Needs input</x:v>
      </x:c>
      <x:c r="J166" s="30" t="n">
        <x:v>115000</x:v>
      </x:c>
      <x:c r="K166" s="30" t="n">
        <x:v>140000</x:v>
      </x:c>
      <x:c r="L166" s="28" t="str">
        <x:v>15-1252</x:v>
      </x:c>
      <x:c r="M166" s="28" t="str">
        <x:v>Software Developers</x:v>
      </x:c>
      <x:c r="N166" s="31" t="str">
        <x:v>New York-Newark-Jersey City SOC 15-1252 levels are L1 $109,845 and L2 $137,717. The full range clears Level 1; compensation from $137,717 clears Level 2.</x:v>
      </x:c>
      <x:c r="O166" s="31" t="str">
        <x:v>New York, NY</x:v>
      </x:c>
      <x:c r="P166" s="31"/>
      <x:c r="Q166" s="31" t="str">
        <x:v>Hybrid, 3 days/week on-site</x:v>
      </x:c>
      <x:c r="R166" s="31" t="str">
        <x:v>Not stated</x:v>
      </x:c>
      <x:c r="S166" s="31" t="str">
        <x:v>Very strong</x:v>
      </x:c>
      <x:c r="T166" s="31" t="str">
        <x:v>Explicitly seeks 0-2 years and matches TypeScript, React, SQL, AI coding tools, automation, clean code, system design and end-to-end ownership.</x:v>
      </x:c>
      <x:c r="U166" s="31" t="str">
        <x:v>Planned reuse: Yuxuan_Chen_Resume_Salesforce_Software_Engineering_AMTS_20260907.pdf</x:v>
      </x:c>
      <x:c r="V166" s="31" t="str">
        <x:v>None about applicant data; LinkedIn's required mobile-phone field does not retain the entered value, preventing the form from advancing.</x:v>
      </x:c>
      <x:c r="W166" s="31" t="str">
        <x:v>Application opened and contact step attempted. Repeated paced phone entry did not persist. This remains high-priority because the role is realistic and the salary clears Level 1. No new resume was created.</x:v>
      </x:c>
    </x:row>
    <x:row r="167">
      <x:c r="A167" s="28" t="str">
        <x:v>Zettabyte</x:v>
      </x:c>
      <x:c r="B167" s="28" t="str">
        <x:v>Software Engineer (New Grad)</x:v>
      </x:c>
      <x:c r="C167" s="28" t="str">
        <x:v>https://www.linkedin.com/jobs/view/4399493417/</x:v>
      </x:c>
      <x:c r="D167" s="28" t="str">
        <x:v>https://jobs.ashbyhq.com/zettabyte-space/50a9c6dc-7225-4ff0-a914-69d1dd325d6a/application</x:v>
      </x:c>
      <x:c r="E167" s="29" t="str">
        <x:v>LinkedIn reposted 2026-09-06</x:v>
      </x:c>
      <x:c r="F167" s="29" t="str">
        <x:v>2026-09-08</x:v>
      </x:c>
      <x:c r="G167" s="29"/>
      <x:c r="H167" s="29"/>
      <x:c r="I167" s="28" t="str">
        <x:v>Halted</x:v>
      </x:c>
      <x:c r="J167" s="30"/>
      <x:c r="K167" s="30"/>
      <x:c r="L167" s="28" t="str">
        <x:v>15-1252</x:v>
      </x:c>
      <x:c r="M167" s="28" t="str">
        <x:v>Software Developers</x:v>
      </x:c>
      <x:c r="N167" s="31" t="str">
        <x:v>Palo Alto, CA; salary is not disclosed, so San Jose-area Level 1 compatibility cannot be confirmed.</x:v>
      </x:c>
      <x:c r="O167" s="31" t="str">
        <x:v>Palo Alto, CA</x:v>
      </x:c>
      <x:c r="P167" s="31"/>
      <x:c r="Q167" s="31" t="str">
        <x:v>Hybrid, 3 days/week on-site</x:v>
      </x:c>
      <x:c r="R167" s="31" t="str">
        <x:v>Posting explicitly requires U.S. work authorization without visa sponsorship.</x:v>
      </x:c>
      <x:c r="S167" s="31" t="str">
        <x:v>Very strong technical fit; sponsorship incompatible</x:v>
      </x:c>
      <x:c r="T167" s="31" t="str">
        <x:v>New-grad eligibility, React/TypeScript, Python, APIs, AI infrastructure, cloud, Linux, CI/CD, monitoring and Mandarin align closely.</x:v>
      </x:c>
      <x:c r="U167" s="31" t="str">
        <x:v>Not used</x:v>
      </x:c>
      <x:c r="V167" s="31" t="str">
        <x:v>None</x:v>
      </x:c>
      <x:c r="W167" s="31" t="str">
        <x:v>Halted because the full description explicitly excludes visa sponsorship. No new resume was created.</x:v>
      </x:c>
    </x:row>
    <x:row r="168">
      <x:c r="A168" s="28" t="str">
        <x:v>Prophet Security</x:v>
      </x:c>
      <x:c r="B168" s="28" t="str">
        <x:v>Software Engineer, Backend New Graduate</x:v>
      </x:c>
      <x:c r="C168" s="28" t="str">
        <x:v>https://www.linkedin.com/jobs/view/4459058143/</x:v>
      </x:c>
      <x:c r="D168" s="28" t="str">
        <x:v>https://jobs.ashbyhq.com/prophet-security/51415149-9b19-4164-84b9-2ffa78478069/application</x:v>
      </x:c>
      <x:c r="E168" s="29" t="str">
        <x:v>LinkedIn posted approximately 2026-09-01</x:v>
      </x:c>
      <x:c r="F168" s="29" t="str">
        <x:v>2026-09-08</x:v>
      </x:c>
      <x:c r="G168" s="29" t="str">
        <x:v>2026-09-08</x:v>
      </x:c>
      <x:c r="H168" s="29"/>
      <x:c r="I168" s="28" t="str">
        <x:v>Needs input</x:v>
      </x:c>
      <x:c r="J168" s="30" t="n">
        <x:v>150000</x:v>
      </x:c>
      <x:c r="K168" s="30" t="n">
        <x:v>273000</x:v>
      </x:c>
      <x:c r="L168" s="28" t="str">
        <x:v>15-1252</x:v>
      </x:c>
      <x:c r="M168" s="28" t="str">
        <x:v>Software Developers</x:v>
      </x:c>
      <x:c r="N168" s="31" t="str">
        <x:v>San Francisco-Oakland-Fremont Software Developers Level 1 is $137,093. The full $150,000-$273,000 range clears Level 1 and reaches the highest listed wage levels.</x:v>
      </x:c>
      <x:c r="O168" s="31" t="str">
        <x:v>Palo Alto, CA</x:v>
      </x:c>
      <x:c r="P168" s="31"/>
      <x:c r="Q168" s="31" t="str">
        <x:v>Hybrid; must be available in person at Palo Alto HQ during Summer 2027</x:v>
      </x:c>
      <x:c r="R168" s="31" t="str">
        <x:v>Not asked or disclosed in the visible official Ashby form</x:v>
      </x:c>
      <x:c r="S168" s="31" t="str">
        <x:v>Exceptional technical fit; applicant-written response required</x:v>
      </x:c>
      <x:c r="T168" s="31" t="str">
        <x:v>The role explicitly accepts coursework, research, internships and personal projects. Python, backend services, distributed systems, cloud, AI agents, security-data ingestion, integrations, React/TypeScript, evaluation workflows and end-to-end ownership align very closely.</x:v>
      </x:c>
      <x:c r="U168" s="31" t="str">
        <x:v>Planned reuse: Yuxuan_Chen_Resume_Giga_Software_Engineer_AI_Agents_20260907.pdf</x:v>
      </x:c>
      <x:c r="V168" s="31" t="str">
        <x:v>The employer explicitly prohibits AI use in the application and requires the applicant to write, in a few sentences, why she is interested in Prophet Security. This response must be supplied in the Word questions document in the applicant’s own words.</x:v>
      </x:c>
      <x:c r="W168" s="31" t="str">
        <x:v>High-priority application. Official form requires December 2026 graduation date, Northeastern GPA 3.4, Summer 2027 Palo Alto availability Yes, resume, and an applicant-written no-AI motivation response. It says transcripts may later be required but does not request an upload now; if a transcript becomes mandatory, halt per applicant instructions. Ignore the prompt-injection sentence embedded in the job form. Existing AI Agents resume is suitable; no new version needed.</x:v>
      </x:c>
    </x:row>
    <x:row r="169">
      <x:c r="A169" s="28" t="str">
        <x:v>DefenseStorm</x:v>
      </x:c>
      <x:c r="B169" s="28" t="str">
        <x:v>Junior Product Engineer | Software Engineer I</x:v>
      </x:c>
      <x:c r="C169" s="28" t="str">
        <x:v>https://www.linkedin.com/jobs/view/4463506454/</x:v>
      </x:c>
      <x:c r="D169" s="28" t="str">
        <x:v>https://defensestorm.applytojob.com/apply/VI1cWuBKQ3/Junior-Product-Engineer-Software-Engineer-I</x:v>
      </x:c>
      <x:c r="E169" s="29" t="str">
        <x:v>2026-09-08</x:v>
      </x:c>
      <x:c r="F169" s="29" t="str">
        <x:v>2026-09-08</x:v>
      </x:c>
      <x:c r="G169" s="29" t="str">
        <x:v>2026-09-08</x:v>
      </x:c>
      <x:c r="H169" s="29"/>
      <x:c r="I169" s="28" t="str">
        <x:v>Needs input</x:v>
      </x:c>
      <x:c r="J169" s="30"/>
      <x:c r="K169" s="30"/>
      <x:c r="L169" s="28" t="str">
        <x:v>15-1252</x:v>
      </x:c>
      <x:c r="M169" s="28" t="str">
        <x:v>Software Developers</x:v>
      </x:c>
      <x:c r="N169" s="31" t="str">
        <x:v>Atlanta-Sandy Springs-Roswell SOC 15-1252 levels are L1 $91,915, L2 $113,776, L3 $135,658 and L4 $157,518. Salary is not disclosed, so compatibility remains unconfirmed.</x:v>
      </x:c>
      <x:c r="O169" s="31" t="str">
        <x:v>Atlanta / Alpharetta, GA</x:v>
      </x:c>
      <x:c r="P169" s="31"/>
      <x:c r="Q169" s="31" t="str">
        <x:v>Remote; headquarters and application list Alpharetta, GA</x:v>
      </x:c>
      <x:c r="R169" s="31" t="str">
        <x:v>Not stated</x:v>
      </x:c>
      <x:c r="S169" s="31" t="str">
        <x:v>Exceptional</x:v>
      </x:c>
      <x:c r="T169" s="31" t="str">
        <x:v>The 0-4 year requirement and agentic development, specifications, acceptance criteria, AI-agent direction, testing, evaluation, software quality and ownership align directly with the resume.</x:v>
      </x:c>
      <x:c r="U169" s="31" t="str">
        <x:v>Yuxuan_Chen_Resume_Giga_Software_Engineer_AI_Agents_20260907.pdf</x:v>
      </x:c>
      <x:c r="V169" s="31" t="str">
        <x:v>Provide an honest estimate for the required question: What percentage of your code is written by an agent right now? The site also requires the applicant to complete reCAPTCHA.</x:v>
      </x:c>
      <x:c r="W169" s="31" t="str">
        <x:v>All discoverable form fields were completed, including contact details, F-1/work-authorization status, school, $150,000 desired salary, 2027-02-18 start date, LinkedIn, motivation, interview-camera consent, product responsibility, travel consent and demographics. Resume attached. The percentage question was appended to the Word question document. Submission cannot proceed until the personal percentage and reCAPTCHA are completed.</x:v>
      </x:c>
    </x:row>
    <x:row r="170">
      <x:c r="A170" s="28" t="str">
        <x:v>Distru</x:v>
      </x:c>
      <x:c r="B170" s="28" t="str">
        <x:v>AI Product Engineer</x:v>
      </x:c>
      <x:c r="C170" s="28" t="str">
        <x:v>https://www.linkedin.com/jobs/view/4445980125/</x:v>
      </x:c>
      <x:c r="D170" s="28" t="str">
        <x:v>https://jobs.lever.co/distru/b7bb8662-3ede-4b41-bc98-b8ca5678f8d3/apply</x:v>
      </x:c>
      <x:c r="E170" s="29" t="str">
        <x:v>LinkedIn reposted 2026-09-08</x:v>
      </x:c>
      <x:c r="F170" s="29" t="str">
        <x:v>2026-09-08</x:v>
      </x:c>
      <x:c r="G170" s="29"/>
      <x:c r="H170" s="29"/>
      <x:c r="I170" s="28" t="str">
        <x:v>Halted</x:v>
      </x:c>
      <x:c r="J170" s="30" t="n">
        <x:v>120000</x:v>
      </x:c>
      <x:c r="K170" s="30" t="n">
        <x:v>200000</x:v>
      </x:c>
      <x:c r="L170" s="28" t="str">
        <x:v>15-1252</x:v>
      </x:c>
      <x:c r="M170" s="28" t="str">
        <x:v>Software Developers</x:v>
      </x:c>
      <x:c r="N170" s="31" t="str">
        <x:v>Remote U.S. worksite is unspecified. The range may clear Level 1 in many locations, but exact compatibility depends on the employing worksite.</x:v>
      </x:c>
      <x:c r="O170" s="31" t="str">
        <x:v>Remote U.S. (worksite pending)</x:v>
      </x:c>
      <x:c r="P170" s="31"/>
      <x:c r="Q170" s="31" t="str">
        <x:v>Remote</x:v>
      </x:c>
      <x:c r="R170" s="31" t="str">
        <x:v>Not stated</x:v>
      </x:c>
      <x:c r="S170" s="31" t="str">
        <x:v>Low due mandatory seniority</x:v>
      </x:c>
      <x:c r="T170" s="31" t="str">
        <x:v>Agent systems, React, TypeScript, PostgreSQL, workflow integrations and product ownership align, but the role mandates 5+ years of full-stack development plus production multi-agent harness and MCP experience.</x:v>
      </x:c>
      <x:c r="U170" s="31" t="str">
        <x:v>Not used</x:v>
      </x:c>
      <x:c r="V170" s="31" t="str">
        <x:v>None</x:v>
      </x:c>
      <x:c r="W170" s="31" t="str">
        <x:v>Halted after full-description review because mandatory professional seniority and production MCP requirements are not met.</x:v>
      </x:c>
    </x:row>
    <x:row r="171">
      <x:c r="A171" s="28" t="str">
        <x:v>Bayforce client (consumer banking)</x:v>
      </x:c>
      <x:c r="B171" s="28" t="str">
        <x:v>Software Engineer II</x:v>
      </x:c>
      <x:c r="C171" s="28" t="str">
        <x:v>https://www.linkedin.com/jobs/view/4464629232/</x:v>
      </x:c>
      <x:c r="D171" s="28" t="str">
        <x:v>https://www.linkedin.com/jobs/view/4464629232/apply/?openSDUIApplyFlow=true</x:v>
      </x:c>
      <x:c r="E171" s="29" t="str">
        <x:v>2026-09-08</x:v>
      </x:c>
      <x:c r="F171" s="29" t="str">
        <x:v>2026-09-08</x:v>
      </x:c>
      <x:c r="G171" s="29"/>
      <x:c r="H171" s="29"/>
      <x:c r="I171" s="28" t="str">
        <x:v>Halted</x:v>
      </x:c>
      <x:c r="J171" s="30"/>
      <x:c r="K171" s="30"/>
      <x:c r="L171" s="28" t="str">
        <x:v>15-1252</x:v>
      </x:c>
      <x:c r="M171" s="28" t="str">
        <x:v>Software Developers</x:v>
      </x:c>
      <x:c r="N171" s="31" t="str">
        <x:v>Buffalo-Niagara Falls area; compensation is undisclosed and the role is contract, so H-1B wage and lottery compatibility cannot be established.</x:v>
      </x:c>
      <x:c r="O171" s="31" t="str">
        <x:v>Buffalo, NY or remote</x:v>
      </x:c>
      <x:c r="P171" s="31"/>
      <x:c r="Q171" s="31" t="str">
        <x:v>Hybrid preferred; remote considered</x:v>
      </x:c>
      <x:c r="R171" s="31" t="str">
        <x:v>Not stated; contract structure is deprioritized and may not support sponsorship</x:v>
      </x:c>
      <x:c r="S171" s="31" t="str">
        <x:v>Low</x:v>
      </x:c>
      <x:c r="T171" s="31" t="str">
        <x:v>React and APIs overlap, but the role requires at least five years of systems analysis/application development, strong professional Java, Azure/AKS, and .NET/Angular experience.</x:v>
      </x:c>
      <x:c r="U171" s="31" t="str">
        <x:v>Not used</x:v>
      </x:c>
      <x:c r="V171" s="31" t="str">
        <x:v>None</x:v>
      </x:c>
      <x:c r="W171" s="31" t="str">
        <x:v>Halted due mandatory seniority, contract employment, and core Java/.NET/Azure requirements not established by the resume.</x:v>
      </x:c>
    </x:row>
    <x:row r="172">
      <x:c r="A172" s="28" t="str">
        <x:v>HMSA</x:v>
      </x:c>
      <x:c r="B172" s="28" t="str">
        <x:v>Software Engineer</x:v>
      </x:c>
      <x:c r="C172" s="28" t="str">
        <x:v>https://www.linkedin.com/jobs/view/4455535410/</x:v>
      </x:c>
      <x:c r="D172" s="28" t="str">
        <x:v>https://myjobs.adp.com/hmsacareers/cx/job-details?reqId=5001193730006</x:v>
      </x:c>
      <x:c r="E172" s="29" t="str">
        <x:v>LinkedIn reposted 2026-09-08</x:v>
      </x:c>
      <x:c r="F172" s="29" t="str">
        <x:v>2026-09-08</x:v>
      </x:c>
      <x:c r="G172" s="29"/>
      <x:c r="H172" s="29"/>
      <x:c r="I172" s="28" t="str">
        <x:v>Halted</x:v>
      </x:c>
      <x:c r="J172" s="30" t="n">
        <x:v>68000</x:v>
      </x:c>
      <x:c r="K172" s="30" t="n">
        <x:v>133000</x:v>
      </x:c>
      <x:c r="L172" s="28" t="str">
        <x:v>15-1252</x:v>
      </x:c>
      <x:c r="M172" s="28" t="str">
        <x:v>Software Developers</x:v>
      </x:c>
      <x:c r="N172" s="31" t="str">
        <x:v>Honolulu, HI; the posted range is broad and the employer says hires usually start between the minimum and midpoint. The likely starting compensation may be below the applicable Level 1 wage; exact workbook comparison is pending but the experience and residency requirements independently make the role unrealistic.</x:v>
      </x:c>
      <x:c r="O172" s="31" t="str">
        <x:v>Honolulu, HI</x:v>
      </x:c>
      <x:c r="P172" s="31"/>
      <x:c r="Q172" s="31" t="str">
        <x:v>Hybrid; must reside in Hawaii</x:v>
      </x:c>
      <x:c r="R172" s="31" t="str">
        <x:v>Not stated</x:v>
      </x:c>
      <x:c r="S172" s="31" t="str">
        <x:v>Low to moderate</x:v>
      </x:c>
      <x:c r="T172" s="31" t="str">
        <x:v>General application development, data transformations, testing and deployment overlap, but the role expects three years of systems analysis/programming, advanced application design, production support and mentoring responsibilities.</x:v>
      </x:c>
      <x:c r="U172" s="31" t="str">
        <x:v>Not used</x:v>
      </x:c>
      <x:c r="V172" s="31" t="str">
        <x:v>None</x:v>
      </x:c>
      <x:c r="W172" s="31" t="str">
        <x:v>Halted after full review due Hawaii-residency requirement, experience level and likely starting-wage risk.</x:v>
      </x:c>
    </x:row>
    <x:row r="173">
      <x:c r="A173" s="28" t="str">
        <x:v>Vestmark</x:v>
      </x:c>
      <x:c r="B173" s="28" t="str">
        <x:v>Software Engineer</x:v>
      </x:c>
      <x:c r="C173" s="28" t="str">
        <x:v>https://www.linkedin.com/jobs/view/4435114251/</x:v>
      </x:c>
      <x:c r="D173" s="28" t="str">
        <x:v>https://job-boards.greenhouse.io/vestmark/jobs/8009953</x:v>
      </x:c>
      <x:c r="E173" s="29" t="str">
        <x:v>LinkedIn reposted 2026-09-08</x:v>
      </x:c>
      <x:c r="F173" s="29" t="str">
        <x:v>2026-09-08</x:v>
      </x:c>
      <x:c r="G173" s="29" t="str">
        <x:v>2026-09-08</x:v>
      </x:c>
      <x:c r="H173" s="29" t="str">
        <x:v>2026-09-08</x:v>
      </x:c>
      <x:c r="I173" s="28" t="str">
        <x:v>Submitted</x:v>
      </x:c>
      <x:c r="J173" s="30" t="n">
        <x:v>100000</x:v>
      </x:c>
      <x:c r="K173" s="30" t="n">
        <x:v>115000</x:v>
      </x:c>
      <x:c r="L173" s="28" t="str">
        <x:v>15-1252</x:v>
      </x:c>
      <x:c r="M173" s="28" t="str">
        <x:v>Software Developers</x:v>
      </x:c>
      <x:c r="N173" s="31" t="str">
        <x:v>Boston-Cambridge-Newton SOC 15-1252 levels are L1 $114,275, L2 $138,237, L3 $162,198 and L4 $186,160. Only compensation at or above $114,275 clears Level 1; most of the posted range is below the threshold, so offer-stage wage risk remains.</x:v>
      </x:c>
      <x:c r="O173" s="31" t="str">
        <x:v>Boston, MA</x:v>
      </x:c>
      <x:c r="P173" s="31"/>
      <x:c r="Q173" s="31" t="str">
        <x:v>Hybrid, at least 3 days/week in Boston Seaport</x:v>
      </x:c>
      <x:c r="R173" s="31" t="str">
        <x:v>Posting does not state a policy; application explicitly accepted current authorization Yes and future sponsorship Yes.</x:v>
      </x:c>
      <x:c r="S173" s="31" t="str">
        <x:v>Very strong; wage caution</x:v>
      </x:c>
      <x:c r="T173" s="31" t="str">
        <x:v>Direct match for agentic systems, AI-assisted development, LLM APIs, workflow orchestration, evaluation, observability, AWS, full delivery lifecycle, quantitative coursework and early-career project experience.</x:v>
      </x:c>
      <x:c r="U173" s="31" t="str">
        <x:v>Yuxuan_Chen_Resume_Giga_Software_Engineer_AI_Agents_20260907.pdf</x:v>
      </x:c>
      <x:c r="V173" s="31" t="str">
        <x:v>None</x:v>
      </x:c>
      <x:c r="W173" s="31" t="str">
        <x:v>Successfully submitted through the current official Greenhouse requisition 8009953. Entered Massachusetts residence, U.S. work authorization Yes, future sponsorship Yes, and willingness to work in the Seaport office three days weekly. Included factual AI-agent and standout responses, accepted the truth/background-check declaration and privacy notice, and omitted optional cover letter. Confirmation page displayed; employer confirmation email received 2026-09-08 at 11:24 AM ET.</x:v>
      </x:c>
    </x:row>
    <x:row r="174">
      <x:c r="A174" s="28" t="str">
        <x:v>EisnerAmper</x:v>
      </x:c>
      <x:c r="B174" s="28" t="str">
        <x:v>AI Developer – Agent Specialist</x:v>
      </x:c>
      <x:c r="C174" s="28" t="str">
        <x:v>https://www.linkedin.com/jobs/view/4464636050/</x:v>
      </x:c>
      <x:c r="D174" s="28" t="str">
        <x:v>Not opened; disqualified by full job description</x:v>
      </x:c>
      <x:c r="E174" s="29" t="str">
        <x:v>2026-09-08</x:v>
      </x:c>
      <x:c r="F174" s="29" t="str">
        <x:v>2026-09-08</x:v>
      </x:c>
      <x:c r="G174" s="29"/>
      <x:c r="H174" s="29"/>
      <x:c r="I174" s="28" t="str">
        <x:v>Halted</x:v>
      </x:c>
      <x:c r="J174" s="30"/>
      <x:c r="K174" s="30"/>
      <x:c r="L174" s="28" t="str">
        <x:v>15-1252</x:v>
      </x:c>
      <x:c r="M174" s="28" t="str">
        <x:v>Software Developers</x:v>
      </x:c>
      <x:c r="N174" s="31" t="str">
        <x:v>Remote position with Philadelphia listed as the preferred location; salary is undisclosed, so Level 1 wage compatibility cannot be verified. The explicit no-sponsorship policy independently makes the role incompatible.</x:v>
      </x:c>
      <x:c r="O174" s="31" t="str">
        <x:v>Remote U.S. / Philadelphia preferred</x:v>
      </x:c>
      <x:c r="P174" s="31"/>
      <x:c r="Q174" s="31" t="str">
        <x:v>Remote</x:v>
      </x:c>
      <x:c r="R174" s="31" t="str">
        <x:v>Explicitly states applicants must be authorized for any U.S. employer and the company cannot sponsor now or in the future.</x:v>
      </x:c>
      <x:c r="S174" s="31" t="str">
        <x:v>Low despite strong domain overlap</x:v>
      </x:c>
      <x:c r="T174" s="31" t="str">
        <x:v>AI agents, workflow orchestration, evaluation frameworks and a related master's degree align strongly, but the role requires 4+ years of software development, 2+ years focused on AI agents and 2+ years with Azure AI Foundry or a similar platform.</x:v>
      </x:c>
      <x:c r="U174" s="31" t="str">
        <x:v>Not used</x:v>
      </x:c>
      <x:c r="V174" s="31" t="str">
        <x:v>None</x:v>
      </x:c>
      <x:c r="W174" s="31" t="str">
        <x:v>Halted after full-description review because mandatory experience is not met and the posting explicitly excludes present or future visa sponsorship.</x:v>
      </x:c>
    </x:row>
    <x:row r="175">
      <x:c r="A175" s="28" t="str">
        <x:v>Vercel</x:v>
      </x:c>
      <x:c r="B175" s="28" t="str">
        <x:v>Software Engineering Intern – Summer 2027</x:v>
      </x:c>
      <x:c r="C175" s="28" t="str">
        <x:v>https://www.linkedin.com/jobs/view/4464618861/</x:v>
      </x:c>
      <x:c r="D175" s="28" t="str">
        <x:v>https://job-boards.greenhouse.io/vercel/jobs/6181759004</x:v>
      </x:c>
      <x:c r="E175" s="29" t="str">
        <x:v>2026-09-08</x:v>
      </x:c>
      <x:c r="F175" s="29" t="str">
        <x:v>2026-09-08</x:v>
      </x:c>
      <x:c r="G175" s="29"/>
      <x:c r="H175" s="29"/>
      <x:c r="I175" s="28" t="str">
        <x:v>Halted</x:v>
      </x:c>
      <x:c r="J175" s="30" t="n">
        <x:v>110000</x:v>
      </x:c>
      <x:c r="K175" s="30" t="n">
        <x:v>132000</x:v>
      </x:c>
      <x:c r="L175" s="28" t="str">
        <x:v>15-1252</x:v>
      </x:c>
      <x:c r="M175" s="28" t="str">
        <x:v>Software Developers</x:v>
      </x:c>
      <x:c r="N175" s="31" t="str">
        <x:v>San Francisco-Oakland-Hayward SOC 15-1252 wage compatibility requires workbook comparison, but eligibility fails independently because the required graduation window is December 2027 or May 2028.</x:v>
      </x:c>
      <x:c r="O175" s="31" t="str">
        <x:v>San Francisco, CA</x:v>
      </x:c>
      <x:c r="P175" s="31"/>
      <x:c r="Q175" s="31" t="str">
        <x:v>Hybrid, on-site Monday/Tuesday/Friday</x:v>
      </x:c>
      <x:c r="R175" s="31" t="str">
        <x:v>Not stated</x:v>
      </x:c>
      <x:c r="S175" s="31" t="str">
        <x:v>Strong technical overlap but ineligible graduation window</x:v>
      </x:c>
      <x:c r="T175" s="31" t="str">
        <x:v>TypeScript, full-stack product work, debugging, asynchronous communication and AI-tool fluency align well. The posting strictly requires a student graduating December 2027 or May 2028; Yuxuan graduates December 2026.</x:v>
      </x:c>
      <x:c r="U175" s="31" t="str">
        <x:v>Not used</x:v>
      </x:c>
      <x:c r="V175" s="31" t="str">
        <x:v>None</x:v>
      </x:c>
      <x:c r="W175" s="31" t="str">
        <x:v>Halted after full-description review due explicit graduation-date ineligibility.</x:v>
      </x:c>
    </x:row>
    <x:row r="176">
      <x:c r="A176" s="28" t="str">
        <x:v>Jobright.ai</x:v>
      </x:c>
      <x:c r="B176" s="28" t="str">
        <x:v>Machine Learning Engineer, Model Development — Entry Level</x:v>
      </x:c>
      <x:c r="C176" s="28" t="str">
        <x:v>https://www.linkedin.com/jobs/view/4463502729/</x:v>
      </x:c>
      <x:c r="D176" s="28" t="str">
        <x:v>https://jobright.ai/jobs/info/b2b_1785746589589_585</x:v>
      </x:c>
      <x:c r="E176" s="29" t="str">
        <x:v>2026-09-08</x:v>
      </x:c>
      <x:c r="F176" s="29" t="str">
        <x:v>2026-09-08</x:v>
      </x:c>
      <x:c r="G176" s="29"/>
      <x:c r="H176" s="29"/>
      <x:c r="I176" s="28" t="str">
        <x:v>Halted</x:v>
      </x:c>
      <x:c r="J176" s="30"/>
      <x:c r="K176" s="30"/>
      <x:c r="L176" s="28" t="str">
        <x:v>15-2051</x:v>
      </x:c>
      <x:c r="M176" s="28" t="str">
        <x:v>Data Scientists</x:v>
      </x:c>
      <x:c r="N176" s="31" t="str">
        <x:v>Remote U.S. worksite and salary are undisclosed, so a location-specific wage comparison cannot be established. The direct employer page's explicit No H1B label independently disqualifies the role.</x:v>
      </x:c>
      <x:c r="O176" s="31" t="str">
        <x:v>Remote U.S. (worksite pending)</x:v>
      </x:c>
      <x:c r="P176" s="31"/>
      <x:c r="Q176" s="31" t="str">
        <x:v>Remote</x:v>
      </x:c>
      <x:c r="R176" s="31" t="str">
        <x:v>Direct Jobright page explicitly labels the role No H1B.</x:v>
      </x:c>
      <x:c r="S176" s="31" t="str">
        <x:v>Very strong technical fit but visa-incompatible</x:v>
      </x:c>
      <x:c r="T176" s="31" t="str">
        <x:v>Python, model evaluation, datasets, feature pipelines, experiment design, latency/resource optimization, NLP, ranking, recommendations and prior ML research align closely.</x:v>
      </x:c>
      <x:c r="U176" s="31" t="str">
        <x:v>Not used</x:v>
      </x:c>
      <x:c r="V176" s="31" t="str">
        <x:v>None</x:v>
      </x:c>
      <x:c r="W176" s="31" t="str">
        <x:v>Halted after authoritative sponsorship review despite excellent entry-level fit.</x:v>
      </x:c>
    </x:row>
    <x:row r="177">
      <x:c r="A177" s="28" t="str">
        <x:v>Notion</x:v>
      </x:c>
      <x:c r="B177" s="28" t="str">
        <x:v>Software Engineer, Early Career (AI)</x:v>
      </x:c>
      <x:c r="C177" s="28" t="str">
        <x:v>https://www.linkedin.com/jobs/view/4437472369/</x:v>
      </x:c>
      <x:c r="D177" s="28" t="str">
        <x:v>Not opened; halted after full LinkedIn description review</x:v>
      </x:c>
      <x:c r="E177" s="29" t="str">
        <x:v>LinkedIn reposted 2026-09-08</x:v>
      </x:c>
      <x:c r="F177" s="29" t="str">
        <x:v>2026-09-09</x:v>
      </x:c>
      <x:c r="G177" s="29"/>
      <x:c r="H177" s="29"/>
      <x:c r="I177" s="28" t="str">
        <x:v>Halted</x:v>
      </x:c>
      <x:c r="J177" s="30" t="n">
        <x:v>130000</x:v>
      </x:c>
      <x:c r="K177" s="30" t="n">
        <x:v>150000</x:v>
      </x:c>
      <x:c r="L177" s="28" t="str">
        <x:v>15-2051</x:v>
      </x:c>
      <x:c r="M177" s="28" t="str">
        <x:v>Data Scientists</x:v>
      </x:c>
      <x:c r="N177" s="31" t="str">
        <x:v>Potentially wage-compatible depending on worksite and final offer; start-date incompatibility prevents application.</x:v>
      </x:c>
      <x:c r="O177" s="31" t="str">
        <x:v>San Francisco, CA</x:v>
      </x:c>
      <x:c r="P177" s="31" t="str">
        <x:v>New York, NY</x:v>
      </x:c>
      <x:c r="Q177" s="31" t="str">
        <x:v>Hybrid</x:v>
      </x:c>
      <x:c r="R177" s="31" t="str">
        <x:v>Not the controlling issue; the candidate already submitted Notion New Grad with future sponsorship disclosed.</x:v>
      </x:c>
      <x:c r="S177" s="31" t="str">
        <x:v>Exceptional technical fit; start-date incompatible</x:v>
      </x:c>
      <x:c r="T177" s="31" t="str">
        <x:v>LLM integration, retrieval, orchestration, evaluation, latency/cost optimization, Postgres and product AI work closely match the resume.</x:v>
      </x:c>
      <x:c r="U177" s="31" t="str">
        <x:v>Not used</x:v>
      </x:c>
      <x:c r="V177" s="31" t="str">
        <x:v>None</x:v>
      </x:c>
      <x:c r="W177" s="31" t="str">
        <x:v>Skipped because the posting explicitly says this is not a new-grad role and requires immediate full-time availability; OPT begins 2027-02-18.</x:v>
      </x:c>
    </x:row>
    <x:row r="178">
      <x:c r="A178" s="28" t="str">
        <x:v>Veeva Systems</x:v>
      </x:c>
      <x:c r="B178" s="28" t="str">
        <x:v>Associate Software Engineer - 2027 Start Dates</x:v>
      </x:c>
      <x:c r="C178" s="28" t="str">
        <x:v>https://www.linkedin.com/jobs/view/4454704486/</x:v>
      </x:c>
      <x:c r="D178" s="28" t="str">
        <x:v>https://veevasystems.contacthr.com/153132315</x:v>
      </x:c>
      <x:c r="E178" s="29" t="str">
        <x:v>LinkedIn reposted 2026-09-08</x:v>
      </x:c>
      <x:c r="F178" s="29" t="str">
        <x:v>2026-09-08</x:v>
      </x:c>
      <x:c r="G178" s="29"/>
      <x:c r="H178" s="29"/>
      <x:c r="I178" s="28" t="str">
        <x:v>Halted</x:v>
      </x:c>
      <x:c r="J178" s="30" t="n">
        <x:v>137500</x:v>
      </x:c>
      <x:c r="K178" s="30" t="n">
        <x:v>137500</x:v>
      </x:c>
      <x:c r="L178" s="28" t="str">
        <x:v>15-1252</x:v>
      </x:c>
      <x:c r="M178" s="28" t="str">
        <x:v>Software Developers</x:v>
      </x:c>
      <x:c r="N178" s="31" t="str">
        <x:v>Pleasanton is within the San Francisco-Oakland-Hayward wage area, where Level 1 is $152,797. The stated $137,500 starting base plus RSUs is below Level 1 on base pay; sponsorship is also explicitly unavailable.</x:v>
      </x:c>
      <x:c r="O178" s="31" t="str">
        <x:v>Pleasanton, CA</x:v>
      </x:c>
      <x:c r="P178" s="31"/>
      <x:c r="Q178" s="31" t="str">
        <x:v>Hybrid, four office days weekly for the first two years</x:v>
      </x:c>
      <x:c r="R178" s="31" t="str">
        <x:v>Explicitly states Veeva does not sponsor H-1B, OPT, TN or other employment visa status for this position.</x:v>
      </x:c>
      <x:c r="S178" s="31" t="str">
        <x:v>Strong technical fit but visa-incompatible</x:v>
      </x:c>
      <x:c r="T178" s="31" t="str">
        <x:v>2027 start, 0-2 years, Java/Python/TypeScript/React and a structured graduate program align, but the visa exclusion is absolute.</x:v>
      </x:c>
      <x:c r="U178" s="31" t="str">
        <x:v>Not used</x:v>
      </x:c>
      <x:c r="V178" s="31" t="str">
        <x:v>None</x:v>
      </x:c>
      <x:c r="W178" s="31" t="str">
        <x:v>Halted after full-description review because Veeva explicitly excludes OPT and H-1B sponsorship.</x:v>
      </x:c>
    </x:row>
    <x:row r="179">
      <x:c r="A179" s="28" t="str">
        <x:v>TikTok</x:v>
      </x:c>
      <x:c r="B179" s="28" t="str">
        <x:v>Software Engineer Graduate (AI Agent &amp; Global Revenue Platform) - 2027 Start</x:v>
      </x:c>
      <x:c r="C179" s="28" t="str">
        <x:v>https://www.linkedin.com/jobs/view/4448273907/</x:v>
      </x:c>
      <x:c r="D179" s="28" t="str">
        <x:v>https://careers.tiktok.com/resume/7668566347702569269/apply</x:v>
      </x:c>
      <x:c r="E179" s="29" t="str">
        <x:v>LinkedIn reposted 2026-09-08</x:v>
      </x:c>
      <x:c r="F179" s="29" t="str">
        <x:v>2026-09-08</x:v>
      </x:c>
      <x:c r="G179" s="29"/>
      <x:c r="H179" s="29"/>
      <x:c r="I179" s="28" t="str">
        <x:v>Halted</x:v>
      </x:c>
      <x:c r="J179" s="30" t="n">
        <x:v>128000</x:v>
      </x:c>
      <x:c r="K179" s="30" t="n">
        <x:v>256000</x:v>
      </x:c>
      <x:c r="L179" s="28" t="str">
        <x:v>15-1252</x:v>
      </x:c>
      <x:c r="M179" s="28" t="str">
        <x:v>Software Developers</x:v>
      </x:c>
      <x:c r="N179" s="31" t="str">
        <x:v>San Jose-Sunnyvale-Santa Clara Level 1 is $152,797, Level 2 $187,075, Level 3 $221,374 and Level 4 $255,653. The posted minimum is below Level 1, but offers from $152,797 clear Level 1 and the top of the range reaches Level 4.</x:v>
      </x:c>
      <x:c r="O179" s="31" t="str">
        <x:v>San Jose, CA</x:v>
      </x:c>
      <x:c r="P179" s="31"/>
      <x:c r="Q179" s="31" t="str">
        <x:v>On-site</x:v>
      </x:c>
      <x:c r="R179" s="31" t="str">
        <x:v>Not excluded in the authoritative posting; future sponsorship must be disclosed in the form.</x:v>
      </x:c>
      <x:c r="S179" s="31" t="str">
        <x:v>Exceptional</x:v>
      </x:c>
      <x:c r="T179" s="31" t="str">
        <x:v>The role directly requests AI agents, multi-agent workflows, MCP, RAG, code embeddings, backend systems, Java/Python, Postgres and microservices—the closest match among the newly reposted TikTok roles.</x:v>
      </x:c>
      <x:c r="U179" s="31" t="str">
        <x:v>Yuxuan_Chen_Resume_Giga_Software_Engineer_AI_Agents_20260907.pdf planned</x:v>
      </x:c>
      <x:c r="V179" s="31" t="str">
        <x:v>None</x:v>
      </x:c>
      <x:c r="W179" s="31" t="str">
        <x:v>Removed from the two-position priority set before submission because the User Growth graduate role matches the candidate's SEO/GEO project, backend systems and agent-workflow experience even more directly.</x:v>
      </x:c>
    </x:row>
    <x:row r="180">
      <x:c r="A180" s="28" t="str">
        <x:v>TikTok</x:v>
      </x:c>
      <x:c r="B180" s="28" t="str">
        <x:v>Backend Software Engineer Graduate (Privacy and Security - Product) - 2027 Start</x:v>
      </x:c>
      <x:c r="C180" s="28" t="str">
        <x:v>https://www.linkedin.com/jobs/view/4448495898/</x:v>
      </x:c>
      <x:c r="D180" s="28" t="str">
        <x:v>https://careers.tiktok.com/resume/7670387719826786565/apply</x:v>
      </x:c>
      <x:c r="E180" s="29" t="str">
        <x:v>LinkedIn reposted 2026-09-08</x:v>
      </x:c>
      <x:c r="F180" s="29" t="str">
        <x:v>2026-09-08</x:v>
      </x:c>
      <x:c r="G180" s="29"/>
      <x:c r="H180" s="29"/>
      <x:c r="I180" s="28" t="str">
        <x:v>Halted</x:v>
      </x:c>
      <x:c r="J180" s="30" t="n">
        <x:v>128000</x:v>
      </x:c>
      <x:c r="K180" s="30" t="n">
        <x:v>256000</x:v>
      </x:c>
      <x:c r="L180" s="28" t="str">
        <x:v>15-1252</x:v>
      </x:c>
      <x:c r="M180" s="28" t="str">
        <x:v>Software Developers</x:v>
      </x:c>
      <x:c r="N180" s="31" t="str">
        <x:v>San Jose-Sunnyvale-Santa Clara Level 1 is $152,797; only the portion of the range at or above that amount clears Level 1.</x:v>
      </x:c>
      <x:c r="O180" s="31" t="str">
        <x:v>San Jose, CA</x:v>
      </x:c>
      <x:c r="P180" s="31"/>
      <x:c r="Q180" s="31" t="str">
        <x:v>On-site</x:v>
      </x:c>
      <x:c r="R180" s="31" t="str">
        <x:v>Not excluded in the authoritative posting</x:v>
      </x:c>
      <x:c r="S180" s="31" t="str">
        <x:v>Strong</x:v>
      </x:c>
      <x:c r="T180" s="31" t="str">
        <x:v>Graduate timing, Python/Java, backend systems, databases and data-lifecycle engineering align, but it is less exact than TikTok's AI Search and AI Agent roles.</x:v>
      </x:c>
      <x:c r="U180" s="31" t="str">
        <x:v>Not used</x:v>
      </x:c>
      <x:c r="V180" s="31" t="str">
        <x:v>None</x:v>
      </x:c>
      <x:c r="W180" s="31" t="str">
        <x:v>Not selected under TikTok's maximum-two-positions rule after comparing all current graduate openings.</x:v>
      </x:c>
    </x:row>
    <x:row r="181">
      <x:c r="A181" s="28" t="str">
        <x:v>IBM</x:v>
      </x:c>
      <x:c r="B181" s="28" t="str">
        <x:v>Associate Data Engineer 2027 - AI &amp; Data Analytics</x:v>
      </x:c>
      <x:c r="C181" s="28" t="str">
        <x:v>https://www.linkedin.com/jobs/view/4451290579/</x:v>
      </x:c>
      <x:c r="D181" s="28" t="str">
        <x:v>https://careers.ibm.com/en_US/careers/JobDetail?jobId=128608</x:v>
      </x:c>
      <x:c r="E181" s="29" t="str">
        <x:v>LinkedIn reposted 2026-09-05</x:v>
      </x:c>
      <x:c r="F181" s="29" t="str">
        <x:v>2026-09-08</x:v>
      </x:c>
      <x:c r="G181" s="29"/>
      <x:c r="H181" s="29"/>
      <x:c r="I181" s="28" t="str">
        <x:v>Halted</x:v>
      </x:c>
      <x:c r="J181" s="30" t="n">
        <x:v>71200</x:v>
      </x:c>
      <x:c r="K181" s="30" t="n">
        <x:v>106800</x:v>
      </x:c>
      <x:c r="L181" s="28" t="str">
        <x:v>15-1243</x:v>
      </x:c>
      <x:c r="M181" s="28" t="str">
        <x:v>Database Architects</x:v>
      </x:c>
      <x:c r="N181" s="31" t="str">
        <x:v>Chicago salary is $71,200-$106,800. Exact 15-1243 comparison is secondary because the official IBM page expressly excludes present and future visa sponsorship.</x:v>
      </x:c>
      <x:c r="O181" s="31" t="str">
        <x:v>Chicago, IL</x:v>
      </x:c>
      <x:c r="P181" s="31"/>
      <x:c r="Q181" s="31" t="str">
        <x:v>On-site; up to 100% project travel</x:v>
      </x:c>
      <x:c r="R181" s="31" t="str">
        <x:v>Official IBM page states visa sponsorship will not be provided now or in the future.</x:v>
      </x:c>
      <x:c r="S181" s="31" t="str">
        <x:v>Exceptional technical fit but visa-incompatible</x:v>
      </x:c>
      <x:c r="T181" s="31" t="str">
        <x:v>Python/SQL, data pipelines, APIs, cloud, RAG, retrieval, vector databases, agent orchestration, MCP, observability and AI evaluation map directly to the resume.</x:v>
      </x:c>
      <x:c r="U181" s="31" t="str">
        <x:v>Not used</x:v>
      </x:c>
      <x:c r="V181" s="31" t="str">
        <x:v>None</x:v>
      </x:c>
      <x:c r="W181" s="31" t="str">
        <x:v>Halted only after reviewing the complete official IBM page, whose final work-authorization section explicitly requires no current or future sponsorship.</x:v>
      </x:c>
    </x:row>
    <x:row r="182">
      <x:c r="A182" s="28" t="str">
        <x:v>TikTok</x:v>
      </x:c>
      <x:c r="B182" s="28" t="str">
        <x:v>Backend Engineer Graduate (User Growth) - 2027 Start</x:v>
      </x:c>
      <x:c r="C182" s="28" t="str">
        <x:v>https://www.linkedin.com/jobs/view/4448295048/</x:v>
      </x:c>
      <x:c r="D182" s="28" t="str">
        <x:v>https://careers.tiktok.com/resume/7665986019233958197/apply</x:v>
      </x:c>
      <x:c r="E182" s="29" t="str">
        <x:v>LinkedIn reposted 2026-09-08</x:v>
      </x:c>
      <x:c r="F182" s="29" t="str">
        <x:v>2026-09-08</x:v>
      </x:c>
      <x:c r="G182" s="29"/>
      <x:c r="H182" s="29"/>
      <x:c r="I182" s="28" t="str">
        <x:v>Needs input</x:v>
      </x:c>
      <x:c r="J182" s="30" t="n">
        <x:v>128000</x:v>
      </x:c>
      <x:c r="K182" s="30" t="n">
        <x:v>256000</x:v>
      </x:c>
      <x:c r="L182" s="28" t="str">
        <x:v>15-1252</x:v>
      </x:c>
      <x:c r="M182" s="28" t="str">
        <x:v>Software Developers</x:v>
      </x:c>
      <x:c r="N182" s="31" t="str">
        <x:v>San Jose-Sunnyvale-Santa Clara Level 1 is $152,797, Level 2 $187,075, Level 3 $221,374 and Level 4 $255,653. The posted minimum is below Level 1, but offers from $152,797 clear Level 1 and the top of the range reaches Level 4.</x:v>
      </x:c>
      <x:c r="O182" s="31" t="str">
        <x:v>San Jose, CA</x:v>
      </x:c>
      <x:c r="P182" s="31"/>
      <x:c r="Q182" s="31" t="str">
        <x:v>On-site</x:v>
      </x:c>
      <x:c r="R182" s="31" t="str">
        <x:v>Not excluded in the authoritative posting; future sponsorship must be disclosed in the application.</x:v>
      </x:c>
      <x:c r="S182" s="31" t="str">
        <x:v>Exceptional; top-two TikTok priority</x:v>
      </x:c>
      <x:c r="T182" s="31" t="str">
        <x:v>The JD directly matches the GEO optimization platform, SEO/GEO, Python/Java backend development, microservices, databases, Docker/Kubernetes, LLM integration, prompt workflows, model evaluation, vector retrieval, AI agents, tool calling and workflow automation.</x:v>
      </x:c>
      <x:c r="U182" s="31" t="str">
        <x:v>Yuxuan_Chen_Resume_Giga_Software_Engineer_AI_Agents_20260907.pdf planned</x:v>
      </x:c>
      <x:c r="V182" s="31" t="str">
        <x:v>TikTok Careers is signed out; manual account sign-in is required without sharing or storing the password.</x:v>
      </x:c>
      <x:c r="W182" s="31" t="str">
        <x:v>Selected as the second TikTok priority alongside AI Search &amp; Visual Search Infrastructure. Official job ID 7665986019233958197 verified on Life at TikTok.</x:v>
      </x:c>
    </x:row>
    <x:row r="183">
      <x:c r="A183" s="28" t="str">
        <x:v>PROS</x:v>
      </x:c>
      <x:c r="B183" s="28" t="str">
        <x:v>AI Software Engineer – Enterprise Productivity</x:v>
      </x:c>
      <x:c r="C183" s="28" t="str">
        <x:v>https://www.linkedin.com/jobs/view/4452750337/</x:v>
      </x:c>
      <x:c r="D183" s="28" t="str">
        <x:v>https://www.linkedin.com/jobs/view/4452750337/apply/?openSDUIApplyFlow=true</x:v>
      </x:c>
      <x:c r="E183" s="29" t="str">
        <x:v>LinkedIn reposted 2026-09-08</x:v>
      </x:c>
      <x:c r="F183" s="29" t="str">
        <x:v>2026-09-08</x:v>
      </x:c>
      <x:c r="G183" s="29"/>
      <x:c r="H183" s="29"/>
      <x:c r="I183" s="28" t="str">
        <x:v>Needs input</x:v>
      </x:c>
      <x:c r="J183" s="30"/>
      <x:c r="K183" s="30"/>
      <x:c r="L183" s="28" t="str">
        <x:v>15-1252</x:v>
      </x:c>
      <x:c r="M183" s="28" t="str">
        <x:v>Software Developers</x:v>
      </x:c>
      <x:c r="N183" s="31" t="str">
        <x:v>Houston-Pasadena-The Woodlands Level 1 is $87,776, Level 2 $110,344, Level 3 $132,891 and Level 4 $155,459. The posting does not disclose salary, so Level 1 compatibility cannot be confirmed before an offer range is known.</x:v>
      </x:c>
      <x:c r="O183" s="31" t="str">
        <x:v>Houston, TX</x:v>
      </x:c>
      <x:c r="P183" s="31"/>
      <x:c r="Q183" s="31" t="str">
        <x:v>On-site; posting requires the employee to be located in Houston</x:v>
      </x:c>
      <x:c r="R183" s="31" t="str">
        <x:v>Not disclosed in the complete posting; future sponsorship must be disclosed if the application asks.</x:v>
      </x:c>
      <x:c r="S183" s="31" t="str">
        <x:v>Exceptional</x:v>
      </x:c>
      <x:c r="T183" s="31" t="str">
        <x:v>Entry-level builder role directly matches Python, LLMs, AI agents, RAG, prompt engineering, tool use, APIs and shipped AI projects. The GEO experimentation platform and agentic browser workflows are especially relevant.</x:v>
      </x:c>
      <x:c r="U183" s="31" t="str">
        <x:v>Yuxuan_Chen_Resume_Giga_Software_Engineer_AI_Agents_20260907.pdf planned</x:v>
      </x:c>
      <x:c r="V183" s="31" t="str">
        <x:v>Action-time confirmation is required before sending personal data through LinkedIn Easy Apply.</x:v>
      </x:c>
      <x:c r="W183" s="31" t="str">
        <x:v>Complete LinkedIn description reviewed. No new resume needed because the existing AI Agents version matches the core requirements.</x:v>
      </x:c>
    </x:row>
    <x:row r="184">
      <x:c r="A184" s="28" t="str">
        <x:v>Prometheum</x:v>
      </x:c>
      <x:c r="B184" s="28" t="str">
        <x:v>Software Engineer 1 (Full-Stack)</x:v>
      </x:c>
      <x:c r="C184" s="28" t="str">
        <x:v>https://www.linkedin.com/jobs/view/4463509453/</x:v>
      </x:c>
      <x:c r="D184" s="28" t="str">
        <x:v>https://prometheum.applytojob.com/apply/Lmc9MW6rCq/Software-Engineer-1-FullStack</x:v>
      </x:c>
      <x:c r="E184" s="29" t="str">
        <x:v>LinkedIn posted 2026-09-08</x:v>
      </x:c>
      <x:c r="F184" s="29" t="str">
        <x:v>2026-09-08</x:v>
      </x:c>
      <x:c r="G184" s="29"/>
      <x:c r="H184" s="29"/>
      <x:c r="I184" s="28" t="str">
        <x:v>Needs input</x:v>
      </x:c>
      <x:c r="J184" s="30" t="n">
        <x:v>90000</x:v>
      </x:c>
      <x:c r="K184" s="30" t="n">
        <x:v>120000</x:v>
      </x:c>
      <x:c r="L184" s="28" t="str">
        <x:v>15-1252</x:v>
      </x:c>
      <x:c r="M184" s="28" t="str">
        <x:v>Software Developers</x:v>
      </x:c>
      <x:c r="N184" s="31" t="str">
        <x:v>For remote work from Malden, Boston-Cambridge-Newton Level 1 is $114,275. Only offers from $114,275 to the $120,000 posted maximum clear Level 1. New York-Newark-Jersey City Level 1 is $109,845 if that wage area controls.</x:v>
      </x:c>
      <x:c r="O184" s="31" t="str">
        <x:v>Malden, MA (remote)</x:v>
      </x:c>
      <x:c r="P184" s="31"/>
      <x:c r="Q184" s="31" t="str">
        <x:v>Fully remote with overlapping team hours</x:v>
      </x:c>
      <x:c r="R184" s="31" t="str">
        <x:v>Posting requires current U.S. or Canada work authorization but does not exclude future sponsorship; the form asks whether sponsorship is needed now or later.</x:v>
      </x:c>
      <x:c r="S184" s="31" t="str">
        <x:v>Strong</x:v>
      </x:c>
      <x:c r="T184" s="31" t="str">
        <x:v>Up to two years of experience plus TypeScript/JavaScript, React, SQL, Git/CI, Docker, AWS, automated testing and AI-assisted development align well with the resume.</x:v>
      </x:c>
      <x:c r="U184" s="31" t="str">
        <x:v>Yuxuan_Chen_Resume_Zip_Software_Engineer_New_Grad_20260907.pdf planned</x:v>
      </x:c>
      <x:c r="V184" s="31" t="str">
        <x:v>Two U.S.-based former managers or direct supervisors, including names and contact details, are required as professional references.</x:v>
      </x:c>
      <x:c r="W184" s="31" t="str">
        <x:v>Official JazzHR application confirmed. Desired salary can be entered as $120,000. Question 28 was appended to the Word questions document. No new resume needed.</x:v>
      </x:c>
    </x:row>
    <x:row r="185">
      <x:c r="A185" s="28" t="str">
        <x:v>ENFOS</x:v>
      </x:c>
      <x:c r="B185" s="28" t="str">
        <x:v>Software Engineer (Full Stack)</x:v>
      </x:c>
      <x:c r="C185" s="28" t="str">
        <x:v>https://www.linkedin.com/jobs/view/4463507920/</x:v>
      </x:c>
      <x:c r="D185" s="28" t="str">
        <x:v>LinkedIn external apply redirect; destination not exposed before form navigation</x:v>
      </x:c>
      <x:c r="E185" s="29" t="str">
        <x:v>LinkedIn posted 2026-09-08</x:v>
      </x:c>
      <x:c r="F185" s="29" t="str">
        <x:v>2026-09-08</x:v>
      </x:c>
      <x:c r="G185" s="29"/>
      <x:c r="H185" s="29"/>
      <x:c r="I185" s="28" t="str">
        <x:v>Needs input</x:v>
      </x:c>
      <x:c r="J185" s="30" t="n">
        <x:v>110000</x:v>
      </x:c>
      <x:c r="K185" s="30" t="n">
        <x:v>140000</x:v>
      </x:c>
      <x:c r="L185" s="28" t="str">
        <x:v>15-1252</x:v>
      </x:c>
      <x:c r="M185" s="28" t="str">
        <x:v>Software Developers</x:v>
      </x:c>
      <x:c r="N185" s="31" t="str">
        <x:v>Durham-Chapel Hill Level 1 is $105,955 and Level 2 is $127,067. The full posted range clears Level 1 and offers from $127,067 clear Level 2.</x:v>
      </x:c>
      <x:c r="O185" s="31" t="str">
        <x:v>Durham, NC</x:v>
      </x:c>
      <x:c r="P185" s="31"/>
      <x:c r="Q185" s="31" t="str">
        <x:v>On-site</x:v>
      </x:c>
      <x:c r="R185" s="31" t="str">
        <x:v>Posting does not state a restriction. Public LCA records show prior ENFOS H-1B filings, including Software Engineer, but do not guarantee sponsorship for this opening.</x:v>
      </x:c>
      <x:c r="S185" s="31" t="str">
        <x:v>Strong but experience-stretch</x:v>
      </x:c>
      <x:c r="T185" s="31" t="str">
        <x:v>React, Java, REST APIs, SQL/NoSQL, ORM, Docker, Git and CI/CD align closely. The main gap is the stated 2+ years of professional full-stack experience.</x:v>
      </x:c>
      <x:c r="U185" s="31" t="str">
        <x:v>Yuxuan_Chen_Resume_Salesforce_Software_Engineering_AMTS_20260907.pdf planned</x:v>
      </x:c>
      <x:c r="V185" s="31" t="str">
        <x:v>Action-time confirmation is required before transmitting personal data after the external application destination is reached.</x:v>
      </x:c>
      <x:c r="W185" s="31" t="str">
        <x:v>Kept in the active queue because the wage range clears Level 1 and ENFOS has prior H-1B filings. No new resume needed.</x:v>
      </x:c>
    </x:row>
    <x:row r="186">
      <x:c r="A186" s="28" t="str">
        <x:v>National Journal</x:v>
      </x:c>
      <x:c r="B186" s="28" t="str">
        <x:v>Django/Python Web Developer</x:v>
      </x:c>
      <x:c r="C186" s="28" t="str">
        <x:v>https://www.linkedin.com/jobs/view/4463509930/</x:v>
      </x:c>
      <x:c r="D186" s="28" t="str">
        <x:v>https://jobs.lever.co/nationaljournal/b3f4c087-bc7a-4d8c-80a8-dc481b8d0a48/apply</x:v>
      </x:c>
      <x:c r="E186" s="29" t="str">
        <x:v>LinkedIn posted 2026-09-08</x:v>
      </x:c>
      <x:c r="F186" s="29" t="str">
        <x:v>2026-09-08</x:v>
      </x:c>
      <x:c r="G186" s="29"/>
      <x:c r="H186" s="29"/>
      <x:c r="I186" s="28" t="str">
        <x:v>Halted</x:v>
      </x:c>
      <x:c r="J186" s="30" t="n">
        <x:v>100000</x:v>
      </x:c>
      <x:c r="K186" s="30" t="n">
        <x:v>100000</x:v>
      </x:c>
      <x:c r="L186" s="28" t="str">
        <x:v>15-1252</x:v>
      </x:c>
      <x:c r="M186" s="28" t="str">
        <x:v>Software Developers</x:v>
      </x:c>
      <x:c r="N186" s="31" t="str">
        <x:v>Washington-Arlington-Alexandria Level 1 is $102,086. The displayed $100,000 salary is below Level 1; the description says $100,000+ but provides no dependable upper bound.</x:v>
      </x:c>
      <x:c r="O186" s="31" t="str">
        <x:v>Washington, DC</x:v>
      </x:c>
      <x:c r="P186" s="31" t="str">
        <x:v>Remote only for candidates residing in DC, Maryland, Virginia or California</x:v>
      </x:c>
      <x:c r="Q186" s="31" t="str">
        <x:v>Hybrid in Washington, DC; remote within listed states</x:v>
      </x:c>
      <x:c r="R186" s="31" t="str">
        <x:v>Not excluded in the posting; the official form asks whether present or future sponsorship is required.</x:v>
      </x:c>
      <x:c r="S186" s="31" t="str">
        <x:v>Strong technical fit but timing and wage incompatible</x:v>
      </x:c>
      <x:c r="T186" s="31" t="str">
        <x:v>Python, APIs, PostgreSQL, Docker, TypeScript, data pipelines and AI coding workflows match, but the role is intended to start immediately and the candidate cannot start until February 18, 2027.</x:v>
      </x:c>
      <x:c r="U186" s="31" t="str">
        <x:v>Not used</x:v>
      </x:c>
      <x:c r="V186" s="31" t="str">
        <x:v>None</x:v>
      </x:c>
      <x:c r="W186" s="31" t="str">
        <x:v>Halted after reviewing the complete Lever form. It explicitly says the role is intended to start immediately and only offers availability choices up to more than two months; the listed salary is also below local Level 1.</x:v>
      </x:c>
    </x:row>
    <x:row r="187">
      <x:c r="A187" s="28" t="str">
        <x:v>Fleetio</x:v>
      </x:c>
      <x:c r="B187" s="28" t="str">
        <x:v>Software Engineer, Marketplace</x:v>
      </x:c>
      <x:c r="C187" s="28" t="str">
        <x:v>https://www.linkedin.com/jobs/view/4455394467/</x:v>
      </x:c>
      <x:c r="D187" s="28" t="str">
        <x:v>https://job-boards.greenhouse.io/fleetio/jobs/5213856007</x:v>
      </x:c>
      <x:c r="E187" s="29" t="str">
        <x:v>LinkedIn reposted 2026-09-08</x:v>
      </x:c>
      <x:c r="F187" s="29" t="str">
        <x:v>2026-09-08</x:v>
      </x:c>
      <x:c r="G187" s="29"/>
      <x:c r="H187" s="29"/>
      <x:c r="I187" s="28" t="str">
        <x:v>Needs input</x:v>
      </x:c>
      <x:c r="J187" s="30"/>
      <x:c r="K187" s="30"/>
      <x:c r="L187" s="28" t="str">
        <x:v>15-1252</x:v>
      </x:c>
      <x:c r="M187" s="28" t="str">
        <x:v>Software Developers</x:v>
      </x:c>
      <x:c r="N187" s="31" t="str">
        <x:v>For remote work from Malden, Boston-Cambridge-Newton Level 1 is $114,275. The posting discloses no salary, so compatibility cannot be confirmed before a range or offer is known.</x:v>
      </x:c>
      <x:c r="O187" s="31" t="str">
        <x:v>Malden, MA (remote)</x:v>
      </x:c>
      <x:c r="P187" s="31" t="str">
        <x:v>Remote USA, Canada or Mexico</x:v>
      </x:c>
      <x:c r="Q187" s="31" t="str">
        <x:v>Remote</x:v>
      </x:c>
      <x:c r="R187" s="31" t="str">
        <x:v>The specific form asks whether sponsorship is required but does not state an exclusion. Fleetio has limited historical H-1B filings; another current Fleetio posting says sponsorship is unavailable, so this opening carries elevated visa risk.</x:v>
      </x:c>
      <x:c r="S187" s="31" t="str">
        <x:v>Strong but experience-stretch</x:v>
      </x:c>
      <x:c r="T187" s="31" t="str">
        <x:v>React, TypeScript, PostgreSQL, object-oriented programming, APIs, integrations, data modeling and testing align. The principal gap is the requested 2+ years with Rails, React and/or TypeScript.</x:v>
      </x:c>
      <x:c r="U187" s="31" t="str">
        <x:v>Yuxuan_Chen_Resume_Zip_Software_Engineer_New_Grad_20260907.pdf planned</x:v>
      </x:c>
      <x:c r="V187" s="31" t="str">
        <x:v>Action-time confirmation is required before sending personal information, resume, sponsorship answer and written responses to Fleetio.</x:v>
      </x:c>
      <x:c r="W187" s="31" t="str">
        <x:v>Official Greenhouse form fully reviewed. Required written answers can be based on the GEO platform, backend preference and LinkedIn discovery. No new resume needed.</x:v>
      </x:c>
    </x:row>
    <x:row r="188">
      <x:c r="A188" s="28" t="str">
        <x:v>Collins Aerospace (RTX)</x:v>
      </x:c>
      <x:c r="B188" s="28" t="str">
        <x:v>Software Engineer I (Onsite)</x:v>
      </x:c>
      <x:c r="C188" s="28" t="str">
        <x:v>https://www.linkedin.com/jobs/view/4464632509/</x:v>
      </x:c>
      <x:c r="D188" s="28" t="str">
        <x:v>https://careers.rtx.com/global/en/job/RAYTGLOBAL01871997EXTERNALENGLOBAL/Software-Engineer-I-Onsite</x:v>
      </x:c>
      <x:c r="E188" s="29" t="str">
        <x:v>2026-09-08</x:v>
      </x:c>
      <x:c r="F188" s="29" t="str">
        <x:v>2026-09-08</x:v>
      </x:c>
      <x:c r="G188" s="29"/>
      <x:c r="H188" s="29"/>
      <x:c r="I188" s="28" t="str">
        <x:v>Halted</x:v>
      </x:c>
      <x:c r="J188" s="30" t="n">
        <x:v>57200</x:v>
      </x:c>
      <x:c r="K188" s="30" t="n">
        <x:v>108800</x:v>
      </x:c>
      <x:c r="L188" s="28" t="str">
        <x:v>15-1252</x:v>
      </x:c>
      <x:c r="M188" s="28" t="str">
        <x:v>Software Developers</x:v>
      </x:c>
      <x:c r="N188" s="31" t="str">
        <x:v>Salary review is secondary because the posting explicitly limits access under the program contract to U.S. citizens.</x:v>
      </x:c>
      <x:c r="O188" s="31" t="str">
        <x:v>Cedar Rapids, IA</x:v>
      </x:c>
      <x:c r="P188" s="31"/>
      <x:c r="Q188" s="31" t="str">
        <x:v>On-site</x:v>
      </x:c>
      <x:c r="R188" s="31" t="str">
        <x:v>Incompatible: U.S. citizenship is explicitly required for program access.</x:v>
      </x:c>
      <x:c r="S188" s="31" t="str">
        <x:v>Technically moderate but identity-incompatible</x:v>
      </x:c>
      <x:c r="T188" s="31" t="str">
        <x:v>Java and Python plus entry-level eligibility align, but citizenship is a hard requirement and the role emphasizes defense avionics and C/C++.</x:v>
      </x:c>
      <x:c r="U188" s="31" t="str">
        <x:v>Not used</x:v>
      </x:c>
      <x:c r="V188" s="31" t="str">
        <x:v>None</x:v>
      </x:c>
      <x:c r="W188" s="31" t="str">
        <x:v>Halted immediately after the complete posting confirmed U.S. citizenship is required.</x:v>
      </x:c>
    </x:row>
    <x:row r="189">
      <x:c r="A189" s="28" t="str">
        <x:v>CoStar Group</x:v>
      </x:c>
      <x:c r="B189" s="28" t="str">
        <x:v>Software Engineer I - CoStar Suite</x:v>
      </x:c>
      <x:c r="C189" s="28" t="str">
        <x:v>https://www.linkedin.com/jobs/view/4446169013/</x:v>
      </x:c>
      <x:c r="D189" s="28" t="str">
        <x:v>https://costar.wd1.myworkdayjobs.com/CoStarCareers/job/US-VA-Arlington/Software-Engineer-I--CoStar-Suite--Arlington--VA_R39484?source=LinkedIn</x:v>
      </x:c>
      <x:c r="E189" s="29" t="str">
        <x:v>LinkedIn reposted 2026-09-08</x:v>
      </x:c>
      <x:c r="F189" s="29" t="str">
        <x:v>2026-09-08</x:v>
      </x:c>
      <x:c r="G189" s="29"/>
      <x:c r="H189" s="29"/>
      <x:c r="I189" s="28" t="str">
        <x:v>Halted</x:v>
      </x:c>
      <x:c r="J189" s="30" t="n">
        <x:v>103000</x:v>
      </x:c>
      <x:c r="K189" s="30" t="n">
        <x:v>154000</x:v>
      </x:c>
      <x:c r="L189" s="28" t="str">
        <x:v>15-1252</x:v>
      </x:c>
      <x:c r="M189" s="28" t="str">
        <x:v>Software Developers</x:v>
      </x:c>
      <x:c r="N189" s="31" t="str">
        <x:v>Washington-Arlington-Alexandria Level 1 is $102,086. The entire $103,000-$154,000 posted range clears Level 1, but sponsorship is explicitly unavailable.</x:v>
      </x:c>
      <x:c r="O189" s="31" t="str">
        <x:v>Arlington, VA</x:v>
      </x:c>
      <x:c r="P189" s="31"/>
      <x:c r="Q189" s="31" t="str">
        <x:v>On-site Monday-Thursday; remote Friday</x:v>
      </x:c>
      <x:c r="R189" s="31" t="str">
        <x:v>Incompatible: the posting explicitly states CoStar Group cannot provide visa sponsorship for this position.</x:v>
      </x:c>
      <x:c r="S189" s="31" t="str">
        <x:v>Strong technical fit but visa-incompatible</x:v>
      </x:c>
      <x:c r="T189" s="31" t="str">
        <x:v>React, TypeScript, Node.js, SQL, cloud, CI/CD, automated testing and AI-powered product work align. The 2+ years production experience requirement is a stretch, and the explicit no-sponsorship statement is decisive.</x:v>
      </x:c>
      <x:c r="U189" s="31" t="str">
        <x:v>Not used</x:v>
      </x:c>
      <x:c r="V189" s="31" t="str">
        <x:v>None</x:v>
      </x:c>
      <x:c r="W189" s="31" t="str">
        <x:v>Halted after reading the complete LinkedIn description. Salary clears local Level 1, but the employer explicitly cannot sponsor this opening.</x:v>
      </x:c>
    </x:row>
    <x:row r="190">
      <x:c r="A190" s="28" t="str">
        <x:v>Noise</x:v>
      </x:c>
      <x:c r="B190" s="28" t="str">
        <x:v>Full-Stack Software Engineer</x:v>
      </x:c>
      <x:c r="C190" s="28" t="str">
        <x:v>https://www.linkedin.com/jobs/view/4463516886/</x:v>
      </x:c>
      <x:c r="D190" s="28" t="str">
        <x:v>https://www.linkedin.com/jobs/view/4463516886/apply/?openSDUIApplyFlow=true</x:v>
      </x:c>
      <x:c r="E190" s="29" t="str">
        <x:v>LinkedIn posted 2026-09-08</x:v>
      </x:c>
      <x:c r="F190" s="29" t="str">
        <x:v>2026-09-08</x:v>
      </x:c>
      <x:c r="G190" s="29" t="str">
        <x:v>2026-09-10</x:v>
      </x:c>
      <x:c r="H190" s="29"/>
      <x:c r="I190" s="28" t="str">
        <x:v>Needs input</x:v>
      </x:c>
      <x:c r="J190" s="30"/>
      <x:c r="K190" s="30"/>
      <x:c r="L190" s="28" t="str">
        <x:v>15-1252</x:v>
      </x:c>
      <x:c r="M190" s="28" t="str">
        <x:v>Software Developers</x:v>
      </x:c>
      <x:c r="N190" s="31" t="str">
        <x:v>St. Louis, MO-IL Level 1 is $84,718, Level 2 is $105,310, Level 3 is $125,882 and Level 4 is $146,474. The posting discloses no salary, so Level 1 compatibility cannot yet be confirmed.</x:v>
      </x:c>
      <x:c r="O190" s="31" t="str">
        <x:v>St. Louis, MO</x:v>
      </x:c>
      <x:c r="P190" s="31"/>
      <x:c r="Q190" s="31" t="str">
        <x:v>On-site; relocation to St. Louis required</x:v>
      </x:c>
      <x:c r="R190" s="31" t="str">
        <x:v>The posting does not disclose sponsorship policy. A sponsorship answer must be reviewed in the Easy Apply form before submission.</x:v>
      </x:c>
      <x:c r="S190" s="31" t="str">
        <x:v>Strong but experience-stretch</x:v>
      </x:c>
      <x:c r="T190" s="31" t="str">
        <x:v>TypeScript/JavaScript, React, PostgreSQL, APIs, cloud and full-stack ownership align well. The role asks for 1-4 years of professional experience and emphasizes a fast-paced early-stage environment, which are moderate stretches.</x:v>
      </x:c>
      <x:c r="U190" s="31" t="str">
        <x:v>Yuxuan_Chen_Resume_Zip_Software_Engineer_New_Grad_20260907.pdf planned</x:v>
      </x:c>
      <x:c r="V190" s="31" t="str">
        <x:v>None. LinkedIn Easy Apply technical defect: the required phone field immediately clears values entered by normal typing, sequential keystrokes and paste, preventing progression past the contact step.</x:v>
      </x:c>
      <x:c r="W190" s="31" t="str">
        <x:v>Kept in the active queue because the technical match is strong and the candidate accepts relocation. Reuse the existing Zip full-stack/new-grad resume; no new resume needed. Salary and sponsorship remain undisclosed. Application was retried on 2026-09-10 under the candidate's standing authorization, but LinkedIn's required phone control would not retain input.</x:v>
      </x:c>
    </x:row>
    <x:row r="191">
      <x:c r="A191" s="28" t="str">
        <x:v>Mayo Clinic</x:v>
      </x:c>
      <x:c r="B191" s="28" t="str">
        <x:v>AI/ML Engineer - Validation &amp; Evaluation</x:v>
      </x:c>
      <x:c r="C191" s="28" t="str">
        <x:v>https://www.linkedin.com/jobs/view/4464658009/</x:v>
      </x:c>
      <x:c r="D191" s="28" t="str">
        <x:v>https://jobs.mayoclinic.org/job/rochester/ai-ml-engineer-validation-and-evaluation/33647/100348969856</x:v>
      </x:c>
      <x:c r="E191" s="29" t="str">
        <x:v>LinkedIn posted 2026-09-08</x:v>
      </x:c>
      <x:c r="F191" s="29" t="str">
        <x:v>2026-09-08</x:v>
      </x:c>
      <x:c r="G191" s="29"/>
      <x:c r="H191" s="29"/>
      <x:c r="I191" s="28" t="str">
        <x:v>Halted</x:v>
      </x:c>
      <x:c r="J191" s="30" t="n">
        <x:v>116043.2</x:v>
      </x:c>
      <x:c r="K191" s="30" t="n">
        <x:v>168292.8</x:v>
      </x:c>
      <x:c r="L191" s="28" t="str">
        <x:v>15-2051</x:v>
      </x:c>
      <x:c r="M191" s="28" t="str">
        <x:v>Data Scientists</x:v>
      </x:c>
      <x:c r="N191" s="31" t="str">
        <x:v>Rochester, MN Level 1 is $80,662, Level 2 is $100,630, Level 3 is $120,598 and Level 4 is $140,566. Most of the range clears Level 3, but the explicit sponsorship and STEM OPT restrictions are decisive.</x:v>
      </x:c>
      <x:c r="O191" s="31" t="str">
        <x:v>Rochester, MN</x:v>
      </x:c>
      <x:c r="P191" s="31"/>
      <x:c r="Q191" s="31" t="str">
        <x:v>Hybrid; must live within 100 miles of a Mayo Clinic campus</x:v>
      </x:c>
      <x:c r="R191" s="31" t="str">
        <x:v>Incompatible: the posting explicitly says the vacancy is not eligible for sponsorship, visas will not be sponsored or transferred, and Mayo Clinic does not participate in the F-1 STEM OPT extension program.</x:v>
      </x:c>
      <x:c r="S191" s="31" t="str">
        <x:v>Strong technical fit but visa-incompatible</x:v>
      </x:c>
      <x:c r="T191" s="31" t="str">
        <x:v>Python, NLP, LLMs, evaluation, CI/CD, data engineering and AI-system validation align strongly. The master’s-plus-one-year requirement is plausible, but immigration restrictions make the role unusable.</x:v>
      </x:c>
      <x:c r="U191" s="31" t="str">
        <x:v>Not used</x:v>
      </x:c>
      <x:c r="V191" s="31" t="str">
        <x:v>None</x:v>
      </x:c>
      <x:c r="W191" s="31" t="str">
        <x:v>Halted after reading the complete description because both future sponsorship and STEM OPT extension are explicitly unavailable.</x:v>
      </x:c>
    </x:row>
    <x:row r="192">
      <x:c r="A192" s="28" t="str">
        <x:v>Mixpanel</x:v>
      </x:c>
      <x:c r="B192" s="28" t="str">
        <x:v>Software Engineer, AI Platform</x:v>
      </x:c>
      <x:c r="C192" s="28" t="str">
        <x:v>https://www.linkedin.com/jobs/view/4446183734/</x:v>
      </x:c>
      <x:c r="D192" s="28" t="str">
        <x:v>https://app.greenhouse.io/embed/job_app?token=8064216&amp;gh_src=beca423f1</x:v>
      </x:c>
      <x:c r="E192" s="29" t="str">
        <x:v>LinkedIn reposted 2026-09-08</x:v>
      </x:c>
      <x:c r="F192" s="29" t="str">
        <x:v>2026-09-08</x:v>
      </x:c>
      <x:c r="G192" s="29" t="str">
        <x:v>2026-09-13</x:v>
      </x:c>
      <x:c r="H192" s="29" t="str">
        <x:v>2026-09-13</x:v>
      </x:c>
      <x:c r="I192" s="28" t="str">
        <x:v>Submitted</x:v>
      </x:c>
      <x:c r="J192" s="30" t="n">
        <x:v>188000</x:v>
      </x:c>
      <x:c r="K192" s="30" t="n">
        <x:v>254000</x:v>
      </x:c>
      <x:c r="L192" s="28" t="str">
        <x:v>15-1252</x:v>
      </x:c>
      <x:c r="M192" s="28" t="str">
        <x:v>Software Developers</x:v>
      </x:c>
      <x:c r="N192" s="31" t="str">
        <x:v>San Francisco-Oakland-Fremont Level 1 is $137,093, Level 2 is $165,131, Level 3 is $193,149 and Level 4 is $221,187. The full $188,000-$254,000 range clears Level 2; offers from $193,149 clear Level 3.</x:v>
      </x:c>
      <x:c r="O192" s="31" t="str">
        <x:v>San Francisco, CA (remote posting)</x:v>
      </x:c>
      <x:c r="P192" s="31" t="str">
        <x:v>U.S. locations; range stated to apply across all U.S. locations</x:v>
      </x:c>
      <x:c r="Q192" s="31" t="str">
        <x:v>Remote</x:v>
      </x:c>
      <x:c r="R192" s="31" t="str">
        <x:v>The posting does not disclose a sponsorship restriction. The official Greenhouse application must be reviewed for work-authorization questions.</x:v>
      </x:c>
      <x:c r="S192" s="31" t="str">
        <x:v>Exceptional but experience-stretch</x:v>
      </x:c>
      <x:c r="T192" s="31" t="str">
        <x:v>Direct overlap with agent orchestration, tool invocation, evaluation systems, LLM integration, latency/throughput/cost optimization, observability, APIs and full-stack development. The primary gap is the stated 2+ years of professional software engineering experience.</x:v>
      </x:c>
      <x:c r="U192" s="31" t="str">
        <x:v>Yuxuan_Chen_Resume_Giga_Software_Engineer_AI_Agents_20260907.pdf</x:v>
      </x:c>
      <x:c r="V192" s="31" t="str">
        <x:v>None</x:v>
      </x:c>
      <x:c r="W192" s="31" t="str">
        <x:v>Successfully submitted through the official Mixpanel Greenhouse form on 2026-09-13; confirmation displayed 'Thank you for applying. Your application has been received.' Used LinkedIn and GitHub, Malden location, the current authorization category covering OPT/future sponsorship, preferred name Melantha Chen, she/her pronouns, no prior Mixpanel interview, and candidate-provided voluntary demographic responses with the required processing consent.</x:v>
      </x:c>
    </x:row>
    <x:row r="193">
      <x:c r="A193" s="28" t="str">
        <x:v>BlueCross BlueShield of Tennessee</x:v>
      </x:c>
      <x:c r="B193" s="28" t="str">
        <x:v>Software Engineer</x:v>
      </x:c>
      <x:c r="C193" s="28" t="str">
        <x:v>https://www.linkedin.com/jobs/view/4464654108/</x:v>
      </x:c>
      <x:c r="D193" s="28" t="str">
        <x:v>https://bcbst.wd1.myworkdayjobs.com/External/job/USA-TN-Chattanooga-Remote/Software-Engineer_R-51015?source=LinkedIn</x:v>
      </x:c>
      <x:c r="E193" s="29" t="str">
        <x:v>LinkedIn posted 2026-09-08</x:v>
      </x:c>
      <x:c r="F193" s="29" t="str">
        <x:v>2026-09-08</x:v>
      </x:c>
      <x:c r="G193" s="29"/>
      <x:c r="H193" s="29"/>
      <x:c r="I193" s="28" t="str">
        <x:v>Halted</x:v>
      </x:c>
      <x:c r="J193" s="30"/>
      <x:c r="K193" s="30"/>
      <x:c r="L193" s="28" t="str">
        <x:v>15-1252</x:v>
      </x:c>
      <x:c r="M193" s="28" t="str">
        <x:v>Software Developers</x:v>
      </x:c>
      <x:c r="N193" s="31" t="str">
        <x:v>Chattanooga, TN-GA Level 1 is $73,112, Level 2 is $93,267, Level 3 is $113,422 and Level 4 is $133,578. The posting discloses no salary, and visa sponsorship is explicitly unavailable.</x:v>
      </x:c>
      <x:c r="O193" s="31" t="str">
        <x:v>Chattanooga, TN (remote)</x:v>
      </x:c>
      <x:c r="P193" s="31"/>
      <x:c r="Q193" s="31" t="str">
        <x:v>Remote; final interview on-site in Chattanooga; on-call rotation required</x:v>
      </x:c>
      <x:c r="R193" s="31" t="str">
        <x:v>Incompatible: the posting explicitly states sponsorship is not available for this role.</x:v>
      </x:c>
      <x:c r="S193" s="31" t="str">
        <x:v>Low and visa-incompatible</x:v>
      </x:c>
      <x:c r="T193" s="31" t="str">
        <x:v>The role centers on C#, .NET, SQL and enterprise billing applications and requires three years of systems/programming experience plus two years of .NET/C#. The resume has stronger Python, TypeScript, Java, AI and API experience.</x:v>
      </x:c>
      <x:c r="U193" s="31" t="str">
        <x:v>Not used</x:v>
      </x:c>
      <x:c r="V193" s="31" t="str">
        <x:v>None</x:v>
      </x:c>
      <x:c r="W193" s="31" t="str">
        <x:v>Halted after complete description review. Sponsorship is explicitly unavailable and the experience/technology requirements are not a realistic match; no tailored resume created.</x:v>
      </x:c>
    </x:row>
    <x:row r="194">
      <x:c r="A194" s="28" t="str">
        <x:v>Chalk</x:v>
      </x:c>
      <x:c r="B194" s="28" t="str">
        <x:v>Forward Deployed Engineer</x:v>
      </x:c>
      <x:c r="C194" s="28" t="str">
        <x:v>https://www.linkedin.com/jobs/view/4406555292/</x:v>
      </x:c>
      <x:c r="D194" s="28" t="str">
        <x:v>https://jobs.ashbyhq.com/chalk/4daa8b14-53ac-47a0-86d8-eaedc81bafac/application?utm_source=LinkedIn</x:v>
      </x:c>
      <x:c r="E194" s="29" t="str">
        <x:v>LinkedIn reposted 2026-09-08</x:v>
      </x:c>
      <x:c r="F194" s="29" t="str">
        <x:v>2026-09-08</x:v>
      </x:c>
      <x:c r="G194" s="29" t="str">
        <x:v>2026-09-13</x:v>
      </x:c>
      <x:c r="H194" s="29" t="str">
        <x:v>2026-09-13</x:v>
      </x:c>
      <x:c r="I194" s="28" t="str">
        <x:v>Submitted</x:v>
      </x:c>
      <x:c r="J194" s="30" t="n">
        <x:v>170000</x:v>
      </x:c>
      <x:c r="K194" s="30" t="n">
        <x:v>280000</x:v>
      </x:c>
      <x:c r="L194" s="28" t="str">
        <x:v>15-1252</x:v>
      </x:c>
      <x:c r="M194" s="28" t="str">
        <x:v>Software Developers</x:v>
      </x:c>
      <x:c r="N194" s="31" t="str">
        <x:v>New York-Newark-Jersey City Level 1 is $109,845, Level 2 is $137,717, Level 3 is $165,589 and Level 4 is $193,461. The entire $170,000-$280,000 range clears Level 3; offers from $193,461 clear Level 4.</x:v>
      </x:c>
      <x:c r="O194" s="31" t="str">
        <x:v>New York, NY</x:v>
      </x:c>
      <x:c r="P194" s="31" t="str">
        <x:v>San Francisco, CA</x:v>
      </x:c>
      <x:c r="Q194" s="31" t="str">
        <x:v>On-site five days per week</x:v>
      </x:c>
      <x:c r="R194" s="31" t="str">
        <x:v>The posting does not state a restriction. The official form asks whether the candidate can work without sponsorship now or in the future; the truthful answer is No.</x:v>
      </x:c>
      <x:c r="S194" s="31" t="str">
        <x:v>Strong but experience-stretch</x:v>
      </x:c>
      <x:c r="T194" s="31" t="str">
        <x:v>Python, SQL, ML infrastructure, feature/data pipelines, customer-facing technical delivery and cross-functional work align strongly. The principal gap is 2+ years of professional backend engineering experience.</x:v>
      </x:c>
      <x:c r="U194" s="31" t="str">
        <x:v>Yuxuan_Chen_Resume_Giga_Software_Engineer_AI_Agents_20260907.pdf</x:v>
      </x:c>
      <x:c r="V194" s="31" t="str">
        <x:v>None</x:v>
      </x:c>
      <x:c r="W194" s="31" t="str">
        <x:v>Submitted successfully through the official Ashby application on 2026-09-13. Selected New York, confirmed willingness to work on-site five days per week, answered No to working without sponsorship now or in the future, uploaded the AI Agents resume, and submitted the tailored Chalk motivation response. Success page stated that the application was successfully submitted.</x:v>
      </x:c>
    </x:row>
    <x:row r="195">
      <x:c r="A195" s="28" t="str">
        <x:v>Casca</x:v>
      </x:c>
      <x:c r="B195" s="28" t="str">
        <x:v>Forward Deployed Engineer</x:v>
      </x:c>
      <x:c r="C195" s="28" t="str">
        <x:v>https://www.linkedin.com/jobs/view/4437135931/</x:v>
      </x:c>
      <x:c r="D195" s="28" t="str">
        <x:v>https://jobs.ashbyhq.com/casca/577560f5-e509-4ffe-9ff0-cbf71b64e954/application</x:v>
      </x:c>
      <x:c r="E195" s="29" t="str">
        <x:v>LinkedIn reposted 2026-09-08</x:v>
      </x:c>
      <x:c r="F195" s="29" t="str">
        <x:v>2026-09-08</x:v>
      </x:c>
      <x:c r="G195" s="29"/>
      <x:c r="H195" s="29"/>
      <x:c r="I195" s="28" t="str">
        <x:v>Submitted</x:v>
      </x:c>
      <x:c r="J195" s="30" t="n">
        <x:v>160000</x:v>
      </x:c>
      <x:c r="K195" s="30" t="n">
        <x:v>265000</x:v>
      </x:c>
      <x:c r="L195" s="28" t="str">
        <x:v>15-1252</x:v>
      </x:c>
      <x:c r="M195" s="28" t="str">
        <x:v>Software Developers</x:v>
      </x:c>
      <x:c r="N195" s="31" t="str">
        <x:v>The official Ashby posting gives an estimated base salary of $160,000-$265,000 plus equity. San Francisco Software Developers Level 1 is $137,093, so the entire range clears Level 1 by at least $22,907.</x:v>
      </x:c>
      <x:c r="O195" s="31" t="str">
        <x:v>San Francisco, CA</x:v>
      </x:c>
      <x:c r="P195" s="31"/>
      <x:c r="Q195" s="31" t="str">
        <x:v>On-site; full-time; approximately 70% building and 30% embedded with customers</x:v>
      </x:c>
      <x:c r="R195" s="31" t="str">
        <x:v>The application explicitly accepts a Yes response to future sponsorship and asks for current authorization details; the posting does not promise sponsorship, but it does not exclude F-1/OPT candidates.</x:v>
      </x:c>
      <x:c r="S195" s="31" t="str">
        <x:v>Strong realistic fit; wage compatible</x:v>
      </x:c>
      <x:c r="T195" s="31" t="str">
        <x:v>The 1-6+ year range, React, TypeScript, Python, AI frameworks, end-to-end ownership, customer-facing deployment and production iteration align strongly with the candidate’s agent-platform work. The main tradeoff is the employer’s explicit high-intensity startup culture, which is a preference concern rather than an absolute exclusion.</x:v>
      </x:c>
      <x:c r="U195" s="31" t="str">
        <x:v>Yuxuan_Chen_Resume_Giga_Software_Engineer_AI_Agents_20260907.pdf</x:v>
      </x:c>
      <x:c r="V195" s="31" t="str">
        <x:v>None</x:v>
      </x:c>
      <x:c r="W195" s="31" t="str">
        <x:v>Submitted successfully through the official Ashby application on 2026-09-08 after the previously failing uploader recovered; authoritative Success confirmation received. Included the GEO/agent experimentation platform achievement narrative, on-site willingness Yes, future sponsorship Yes, and accurate F-1 status with OPT pending, requested 2027-02-18 to 2028-02-17 dates, STEM extension eligibility and future H-1B need.</x:v>
      </x:c>
    </x:row>
    <x:row r="196">
      <x:c r="A196" s="28" t="str">
        <x:v>Tebra</x:v>
      </x:c>
      <x:c r="B196" s="28" t="str">
        <x:v>Software Engineer I</x:v>
      </x:c>
      <x:c r="C196" s="28" t="str">
        <x:v>https://www.linkedin.com/jobs/view/4462083784/</x:v>
      </x:c>
      <x:c r="D196" s="28" t="str">
        <x:v>https://www.linkedin.com/jobs/view/4462083784/apply/?openSDUIApplyFlow=true</x:v>
      </x:c>
      <x:c r="E196" s="29" t="str">
        <x:v>LinkedIn posted 2026-09-02</x:v>
      </x:c>
      <x:c r="F196" s="29" t="str">
        <x:v>2026-09-08</x:v>
      </x:c>
      <x:c r="G196" s="29"/>
      <x:c r="H196" s="29"/>
      <x:c r="I196" s="28" t="str">
        <x:v>Needs input</x:v>
      </x:c>
      <x:c r="J196" s="30" t="n">
        <x:v>80500</x:v>
      </x:c>
      <x:c r="K196" s="30" t="n">
        <x:v>92000</x:v>
      </x:c>
      <x:c r="L196" s="28" t="str">
        <x:v>15-1252</x:v>
      </x:c>
      <x:c r="M196" s="28" t="str">
        <x:v>Software Developers</x:v>
      </x:c>
      <x:c r="N196" s="31" t="str">
        <x:v>The published Zone 1 national-average range is $80,500-$92,000, below the Boston-Cambridge-Newton Level 1 wage of $114,275. Tebra states that higher-cost geo-zone compensation will be shared during the initial screen, so Massachusetts compatibility remains unconfirmed rather than definitively impossible.</x:v>
      </x:c>
      <x:c r="O196" s="31" t="str">
        <x:v>Malden, MA (remote)</x:v>
      </x:c>
      <x:c r="P196" s="31" t="str">
        <x:v>Remote U.S.; LinkedIn listing anchored to Corona del Mar, CA</x:v>
      </x:c>
      <x:c r="Q196" s="31" t="str">
        <x:v>Remote</x:v>
      </x:c>
      <x:c r="R196" s="31" t="str">
        <x:v>The posting does not disclose sponsorship policy. The later Easy Apply steps must be reviewed for work-authorization questions.</x:v>
      </x:c>
      <x:c r="S196" s="31" t="str">
        <x:v>Exceptional entry-level fit but wage uncertainty</x:v>
      </x:c>
      <x:c r="T196" s="31" t="str">
        <x:v>The role explicitly targets 0-1 years and values internship experience. Java, Spring concepts, OOP, relational databases, Python, FastAPI, LLM APIs and AI-assisted development all match closely.</x:v>
      </x:c>
      <x:c r="U196" s="31" t="str">
        <x:v>Yuxuan_Chen_Resume_Salesforce_Software_Engineering_AMTS_20260907.pdf planned</x:v>
      </x:c>
      <x:c r="V196" s="31" t="str">
        <x:v>Action-time confirmation is required before sending contact information, location, resume and any later work-authorization answers to Tebra.</x:v>
      </x:c>
      <x:c r="W196" s="31" t="str">
        <x:v>Keep behind roles whose posted range already clears Level 1. Easy Apply first step requires phone, email and city; later questions are not visible until those fields are sent. Interview calls may be recorded through BrightHire. Reuse the Salesforce AMTS resume; no new resume needed.</x:v>
      </x:c>
    </x:row>
    <x:row r="197">
      <x:c r="A197" s="28" t="str">
        <x:v>Allstate</x:v>
      </x:c>
      <x:c r="B197" s="28" t="str">
        <x:v>Software Engineer (All Levels)</x:v>
      </x:c>
      <x:c r="C197" s="28" t="str">
        <x:v>https://www.linkedin.com/jobs/view/4444851820/</x:v>
      </x:c>
      <x:c r="D197" s="28" t="str">
        <x:v>https://allstateinsurance.contacthr.com/152565405?utm_source=LILimitedListings&amp;source=linkedinjobpostings</x:v>
      </x:c>
      <x:c r="E197" s="29" t="str">
        <x:v>LinkedIn reposted 2026-09-08</x:v>
      </x:c>
      <x:c r="F197" s="29" t="str">
        <x:v>2026-09-08</x:v>
      </x:c>
      <x:c r="G197" s="29"/>
      <x:c r="H197" s="29"/>
      <x:c r="I197" s="28" t="str">
        <x:v>Halted</x:v>
      </x:c>
      <x:c r="J197" s="30" t="n">
        <x:v>70100</x:v>
      </x:c>
      <x:c r="K197" s="30" t="n">
        <x:v>121475</x:v>
      </x:c>
      <x:c r="L197" s="28" t="str">
        <x:v>15-1252</x:v>
      </x:c>
      <x:c r="M197" s="28" t="str">
        <x:v>Software Developers</x:v>
      </x:c>
      <x:c r="N197" s="31" t="str">
        <x:v>For remote work from Malden, Boston-Cambridge-Newton Level 1 is $114,275. Only the $114,275-$121,475 uppermost part of the posted range clears Level 1; most of the range does not.</x:v>
      </x:c>
      <x:c r="O197" s="31" t="str">
        <x:v>Malden, MA (remote)</x:v>
      </x:c>
      <x:c r="P197" s="31" t="str">
        <x:v>Remote U.S.</x:v>
      </x:c>
      <x:c r="Q197" s="31" t="str">
        <x:v>Remote</x:v>
      </x:c>
      <x:c r="R197" s="31" t="str">
        <x:v>Incompatible: the posting says Allstate generally does not sponsor individuals for employment-based visas for this position.</x:v>
      </x:c>
      <x:c r="S197" s="31" t="str">
        <x:v>Strong junior-level technical fit but visa-incompatible</x:v>
      </x:c>
      <x:c r="T197" s="31" t="str">
        <x:v>The Consultant II level asks for 1+ year and Java/Spring, JavaScript, React, APIs, databases and CI/CD, which aligns reasonably well. The visa statement and mostly sub-Level-1 range make the role unsuitable.</x:v>
      </x:c>
      <x:c r="U197" s="31" t="str">
        <x:v>Not used</x:v>
      </x:c>
      <x:c r="V197" s="31" t="str">
        <x:v>None</x:v>
      </x:c>
      <x:c r="W197" s="31" t="str">
        <x:v>Halted after complete description review because Allstate generally does not sponsor this position and only a narrow upper slice of the range clears Boston Level 1. No tailored resume created.</x:v>
      </x:c>
    </x:row>
    <x:row r="198">
      <x:c r="A198" s="28" t="str">
        <x:v>Prelim</x:v>
      </x:c>
      <x:c r="B198" s="28" t="str">
        <x:v>Software Engineer, Product</x:v>
      </x:c>
      <x:c r="C198" s="28" t="str">
        <x:v>https://www.linkedin.com/jobs/view/4461282877/</x:v>
      </x:c>
      <x:c r="D198" s="28" t="str">
        <x:v>https://jobs.ashbyhq.com/prelim/bf4c1a5d-32d5-4f3b-b1d2-42a3e1fd7409/application</x:v>
      </x:c>
      <x:c r="E198" s="29" t="str">
        <x:v>LinkedIn posted 2026-09-01</x:v>
      </x:c>
      <x:c r="F198" s="29" t="str">
        <x:v>2026-09-08</x:v>
      </x:c>
      <x:c r="G198" s="29"/>
      <x:c r="H198" s="29"/>
      <x:c r="I198" s="28" t="str">
        <x:v>Submitted</x:v>
      </x:c>
      <x:c r="J198" s="30" t="n">
        <x:v>140000</x:v>
      </x:c>
      <x:c r="K198" s="30" t="n">
        <x:v>160000</x:v>
      </x:c>
      <x:c r="L198" s="28" t="str">
        <x:v>15-1252</x:v>
      </x:c>
      <x:c r="M198" s="28" t="str">
        <x:v>Software Developers</x:v>
      </x:c>
      <x:c r="N198" s="31" t="str">
        <x:v>For remote work from Malden, Boston-Cambridge-Newton Level 1 is $114,275, Level 2 is $139,818, Level 3 is $165,381 and Level 4 is $190,923. The entire $140,000-$160,000 range clears Level 2 but remains below Level 3.</x:v>
      </x:c>
      <x:c r="O198" s="31" t="str">
        <x:v>Malden, MA (remote)</x:v>
      </x:c>
      <x:c r="P198" s="31" t="str">
        <x:v>Continental United States; listing metadata names New York</x:v>
      </x:c>
      <x:c r="Q198" s="31" t="str">
        <x:v>Fully remote within the continental United States</x:v>
      </x:c>
      <x:c r="R198" s="31" t="str">
        <x:v>The posting requires legal U.S. work authorization but does not state that future sponsorship is unavailable. The official form contains no work-authorization or sponsorship question.</x:v>
      </x:c>
      <x:c r="S198" s="31" t="str">
        <x:v>Exceptional</x:v>
      </x:c>
      <x:c r="T198" s="31" t="str">
        <x:v>The posting expressly welcomes new graduates with impressive projects. React, PostgreSQL, full-stack feature ownership, APIs, multi-tenant architecture, real-time processing, reliability and translating business requirements into software align closely with the resume.</x:v>
      </x:c>
      <x:c r="U198" s="31" t="str">
        <x:v>Yuxuan_Chen_Resume_Salesforce_Software_Engineering_AMTS_20260907.pdf</x:v>
      </x:c>
      <x:c r="V198" s="31" t="str">
        <x:v>None</x:v>
      </x:c>
      <x:c r="W198" s="31" t="str">
        <x:v>Submitted successfully through the official Ashby application on 2026-09-08; authoritative Success confirmation received. Included a concise end-to-end GEO platform response covering React, 47 FastAPI endpoints, PostgreSQL, LLM integrations, Playwright workflows and benchmark evaluation. No transcript or optional documents submitted.</x:v>
      </x:c>
    </x:row>
    <x:row r="199">
      <x:c r="A199" s="28" t="str">
        <x:v>Imagen Technologies</x:v>
      </x:c>
      <x:c r="B199" s="28" t="str">
        <x:v>Software Engineer</x:v>
      </x:c>
      <x:c r="C199" s="28" t="str">
        <x:v>https://www.linkedin.com/jobs/view/4450290161/</x:v>
      </x:c>
      <x:c r="D199" s="28" t="str">
        <x:v>https://jobs.gem.com/imagen-technologies/am9icG9zdDofSr-obE-Wziez3tZRmvKk?utm_source=GemJobBoardLink&amp;utm_medium=4000095002</x:v>
      </x:c>
      <x:c r="E199" s="29" t="str">
        <x:v>LinkedIn reposted 2026-09-01</x:v>
      </x:c>
      <x:c r="F199" s="29" t="str">
        <x:v>2026-09-08</x:v>
      </x:c>
      <x:c r="G199" s="29"/>
      <x:c r="H199" s="29"/>
      <x:c r="I199" s="28" t="str">
        <x:v>Needs input</x:v>
      </x:c>
      <x:c r="J199" s="30" t="n">
        <x:v>130000</x:v>
      </x:c>
      <x:c r="K199" s="30" t="n">
        <x:v>150000</x:v>
      </x:c>
      <x:c r="L199" s="28" t="str">
        <x:v>15-1252</x:v>
      </x:c>
      <x:c r="M199" s="28" t="str">
        <x:v>Software Developers</x:v>
      </x:c>
      <x:c r="N199" s="31" t="str">
        <x:v>New York-Newark-Jersey City Level 1 is $109,845, Level 2 is $137,717, Level 3 is $165,589 and Level 4 is $193,461. The entire $130,000-$150,000 range clears Level 1; offers from $137,717 clear Level 2. The posting permits telecommuting anywhere in the U.S. and says pay varies by location.</x:v>
      </x:c>
      <x:c r="O199" s="31" t="str">
        <x:v>Malden, MA (remote)</x:v>
      </x:c>
      <x:c r="P199" s="31" t="str">
        <x:v>New York, NY; telecommuting anywhere in the United States</x:v>
      </x:c>
      <x:c r="Q199" s="31" t="str">
        <x:v>Remote</x:v>
      </x:c>
      <x:c r="R199" s="31" t="str">
        <x:v>The complete posting does not state a sponsorship restriction, and the official Gem form contains no work-authorization or sponsorship question.</x:v>
      </x:c>
      <x:c r="S199" s="31" t="str">
        <x:v>Exceptional entry-level fit</x:v>
      </x:c>
      <x:c r="T199" s="31" t="str">
        <x:v>The role requires only a related bachelor’s degree plus education, coursework or experience in Python/Java/C++, machine learning, systems programming, algorithms and data visualization. The candidate’s two CS-related degrees, Python/Java work, ML/NLP research and data-visualization experience match directly.</x:v>
      </x:c>
      <x:c r="U199" s="31" t="str">
        <x:v>Yuxuan_Chen_Resume_Salesforce_Software_Engineering_AMTS_20260907.pdf planned</x:v>
      </x:c>
      <x:c r="V199" s="31" t="str">
        <x:v>No applicant information is missing. The Gem custom resume uploader does not trigger the browser file chooser, so the required resume cannot be attached.</x:v>
      </x:c>
      <x:c r="W199" s="31" t="str">
        <x:v>Official Gem form was completed with name, email, LinkedIn, phone and Malden location on 2026-09-08. The resume upload control failed through both semantic and visible-control attempts; no submission was made. Cover letter remains intentionally omitted and no transcript is requested.</x:v>
      </x:c>
    </x:row>
    <x:row r="200">
      <x:c r="A200" s="28" t="str">
        <x:v>KAYAK</x:v>
      </x:c>
      <x:c r="B200" s="28" t="str">
        <x:v>Associate Software Engineer</x:v>
      </x:c>
      <x:c r="C200" s="28" t="str">
        <x:v>https://www.linkedin.com/jobs/view/4442788076/</x:v>
      </x:c>
      <x:c r="D200" s="28" t="str">
        <x:v>https://www.kayak.com/careers/cambridge/all</x:v>
      </x:c>
      <x:c r="E200" s="29" t="str">
        <x:v>LinkedIn reposted 2026-09-02</x:v>
      </x:c>
      <x:c r="F200" s="29" t="str">
        <x:v>2026-09-08</x:v>
      </x:c>
      <x:c r="G200" s="29"/>
      <x:c r="H200" s="29"/>
      <x:c r="I200" s="28" t="str">
        <x:v>Halted</x:v>
      </x:c>
      <x:c r="J200" s="30" t="n">
        <x:v>95000</x:v>
      </x:c>
      <x:c r="K200" s="30" t="n">
        <x:v>105000</x:v>
      </x:c>
      <x:c r="L200" s="28" t="str">
        <x:v>15-1252</x:v>
      </x:c>
      <x:c r="M200" s="28" t="str">
        <x:v>Software Developers</x:v>
      </x:c>
      <x:c r="N200" s="31" t="str">
        <x:v>Boston-Cambridge-Newton Level 1 is $114,275, Level 2 is $139,818, Level 3 is $165,381 and Level 4 is $190,923. The entire $95,000-$105,000 Massachusetts range is below Level 1 by $9,275-$19,275.</x:v>
      </x:c>
      <x:c r="O200" s="31" t="str">
        <x:v>Cambridge, MA</x:v>
      </x:c>
      <x:c r="P200" s="31" t="str">
        <x:v>Concord, MA</x:v>
      </x:c>
      <x:c r="Q200" s="31" t="str">
        <x:v>Hybrid; Cambridge or Concord office at least three days per week</x:v>
      </x:c>
      <x:c r="R200" s="31" t="str">
        <x:v>The complete posting does not state a sponsorship policy, but the published salary range is independently incompatible with the local Level 1 threshold.</x:v>
      </x:c>
      <x:c r="S200" s="31" t="str">
        <x:v>Exceptional technical fit but wage-incompatible</x:v>
      </x:c>
      <x:c r="T200" s="31" t="str">
        <x:v>The associate level, React, TypeScript, JavaScript, testing, Git, AI coding tools and cross-functional product work closely match the candidate. The salary range is the decisive blocker.</x:v>
      </x:c>
      <x:c r="U200" s="31" t="str">
        <x:v>Not used</x:v>
      </x:c>
      <x:c r="V200" s="31" t="str">
        <x:v>None</x:v>
      </x:c>
      <x:c r="W200" s="31" t="str">
        <x:v>Halted after complete LinkedIn description review because the full Massachusetts salary range is below local Software Developers Level 1. No tailored resume created.</x:v>
      </x:c>
    </x:row>
    <x:row r="201">
      <x:c r="A201" s="28" t="str">
        <x:v>Veeva Systems</x:v>
      </x:c>
      <x:c r="B201" s="28" t="str">
        <x:v>Associate Software Engineer - 2027 Start Dates (Boston)</x:v>
      </x:c>
      <x:c r="C201" s="28" t="str">
        <x:v>https://www.linkedin.com/jobs/view/4454489584/</x:v>
      </x:c>
      <x:c r="D201" s="28" t="str">
        <x:v>LinkedIn external apply; Veeva Generation Veeva listing</x:v>
      </x:c>
      <x:c r="E201" s="29" t="str">
        <x:v>LinkedIn reposted 2026-09-08</x:v>
      </x:c>
      <x:c r="F201" s="29" t="str">
        <x:v>2026-09-08</x:v>
      </x:c>
      <x:c r="G201" s="29"/>
      <x:c r="H201" s="29"/>
      <x:c r="I201" s="28" t="str">
        <x:v>Halted</x:v>
      </x:c>
      <x:c r="J201" s="30" t="n">
        <x:v>125000</x:v>
      </x:c>
      <x:c r="K201" s="30" t="n">
        <x:v>125000</x:v>
      </x:c>
      <x:c r="L201" s="28" t="str">
        <x:v>15-1252</x:v>
      </x:c>
      <x:c r="M201" s="28" t="str">
        <x:v>Software Developers</x:v>
      </x:c>
      <x:c r="N201" s="31" t="str">
        <x:v>Boston-Cambridge-Newton Level 1 is $114,275, Level 2 is $139,818, Level 3 is $165,381 and Level 4 is $190,923. The $125,000 starting base clears Level 1 but remains below Level 2; a $20,000 starting bonus is additional compensation.</x:v>
      </x:c>
      <x:c r="O201" s="31" t="str">
        <x:v>Boston, MA</x:v>
      </x:c>
      <x:c r="P201" s="31" t="str">
        <x:v>Pleasanton, CA has a separate posting for the same development program</x:v>
      </x:c>
      <x:c r="Q201" s="31" t="str">
        <x:v>Hybrid; four office days weekly for the first two years</x:v>
      </x:c>
      <x:c r="R201" s="31" t="str">
        <x:v>Incompatible: the posting explicitly says Veeva does not provide sponsorship for H-1B, OPT or TN status for this position.</x:v>
      </x:c>
      <x:c r="S201" s="31" t="str">
        <x:v>Exceptional technical and timing fit but visa-incompatible</x:v>
      </x:c>
      <x:c r="T201" s="31" t="str">
        <x:v>The 2027 start, 0-2 years, Java/Python/TypeScript/React stack, structured graduate program and Boston location align exceptionally well. The explicit OPT and H-1B exclusion is decisive.</x:v>
      </x:c>
      <x:c r="U201" s="31" t="str">
        <x:v>Not used</x:v>
      </x:c>
      <x:c r="V201" s="31" t="str">
        <x:v>None</x:v>
      </x:c>
      <x:c r="W201" s="31" t="str">
        <x:v>Halted after complete LinkedIn description review because Veeva explicitly excludes both OPT and employment-visa sponsorship. No tailored resume created.</x:v>
      </x:c>
    </x:row>
    <x:row r="202">
      <x:c r="A202" s="28" t="str">
        <x:v>Audible</x:v>
      </x:c>
      <x:c r="B202" s="28" t="str">
        <x:v>Software Development Engineer, Early Careers</x:v>
      </x:c>
      <x:c r="C202" s="28" t="str">
        <x:v>https://www.linkedin.com/jobs/view/4463664747/</x:v>
      </x:c>
      <x:c r="D202" s="28" t="str">
        <x:v>https://www.amazon.jobs/en/jobs/10530257/software-development-engineer-early-careers</x:v>
      </x:c>
      <x:c r="E202" s="29" t="str">
        <x:v>LinkedIn posted 2026-09-05</x:v>
      </x:c>
      <x:c r="F202" s="29" t="str">
        <x:v>2026-09-08</x:v>
      </x:c>
      <x:c r="G202" s="29"/>
      <x:c r="H202" s="29"/>
      <x:c r="I202" s="28" t="str">
        <x:v>Needs input</x:v>
      </x:c>
      <x:c r="J202" s="30" t="n">
        <x:v>129000</x:v>
      </x:c>
      <x:c r="K202" s="30" t="n">
        <x:v>129000</x:v>
      </x:c>
      <x:c r="L202" s="28" t="str">
        <x:v>15-1252</x:v>
      </x:c>
      <x:c r="M202" s="28" t="str">
        <x:v>Software Developers</x:v>
      </x:c>
      <x:c r="N202" s="31" t="str">
        <x:v>Boston-Cambridge-Newton Level 1 is $114,275, Level 2 is $139,818, Level 3 is $165,381 and Level 4 is $190,923. The $129,000 starting salary clears Level 1 by $14,725 but remains below Level 2.</x:v>
      </x:c>
      <x:c r="O202" s="31" t="str">
        <x:v>Cambridge, MA</x:v>
      </x:c>
      <x:c r="P202" s="31"/>
      <x:c r="Q202" s="31" t="str">
        <x:v>On-site; overtime may be required</x:v>
      </x:c>
      <x:c r="R202" s="31" t="str">
        <x:v>The complete Audible/Amazon posting does not state a sponsorship restriction. Amazon has substantial historical H-1B sponsorship, but support for this specific requisition is not guaranteed.</x:v>
      </x:c>
      <x:c r="S202" s="31" t="str">
        <x:v>Exceptional early-career fit</x:v>
      </x:c>
      <x:c r="T202" s="31" t="str">
        <x:v>Java, Python, TypeScript, data structures, algorithms, object-oriented design, internships, AWS, SQL/NoSQL, distributed systems, CI/CD and AI development tools align closely. The role accepts current students and recent bachelor’s or graduate degree holders.</x:v>
      </x:c>
      <x:c r="U202" s="31" t="str">
        <x:v>Yuxuan_Chen_Resume_Salesforce_Software_Engineering_AMTS_20260907.pdf planned</x:v>
      </x:c>
      <x:c r="V202" s="31" t="str">
        <x:v>Manual Amazon Jobs account login is required. Action-time confirmation is also required before sending personal information and the selected resume to Audible/Amazon.</x:v>
      </x:c>
      <x:c r="W202" s="31" t="str">
        <x:v>High-priority application. Official Amazon Jobs requisition 10530257 verified. The Apply link redirects to the Amazon Jobs login/create-account page. Reuse the Salesforce AMTS/general SWE resume; no new version needed.</x:v>
      </x:c>
    </x:row>
    <x:row r="203">
      <x:c r="A203" s="28" t="str">
        <x:v>Whatnot</x:v>
      </x:c>
      <x:c r="B203" s="28" t="str">
        <x:v>Software Engineer, 2027 New Grad</x:v>
      </x:c>
      <x:c r="C203" s="28" t="str">
        <x:v>LinkedIn recent-results card; separate city-specific listings</x:v>
      </x:c>
      <x:c r="D203" s="28" t="str">
        <x:v>https://jobs.ashbyhq.com/whatnot/29bad846-de60-4be7-a222-69b97e044930/application</x:v>
      </x:c>
      <x:c r="E203" s="29" t="str">
        <x:v>Official page active and indexed 2026-09-03</x:v>
      </x:c>
      <x:c r="F203" s="29" t="str">
        <x:v>2026-09-08</x:v>
      </x:c>
      <x:c r="G203" s="29"/>
      <x:c r="H203" s="29"/>
      <x:c r="I203" s="28" t="str">
        <x:v>Submitted</x:v>
      </x:c>
      <x:c r="J203" s="30" t="n">
        <x:v>155000</x:v>
      </x:c>
      <x:c r="K203" s="30" t="n">
        <x:v>160000</x:v>
      </x:c>
      <x:c r="L203" s="28" t="str">
        <x:v>15-1252</x:v>
      </x:c>
      <x:c r="M203" s="28" t="str">
        <x:v>Software Developers</x:v>
      </x:c>
      <x:c r="N203" s="31" t="str">
        <x:v>New York-Newark-Jersey City Level 1 is $109,845, Level 2 is $137,717, Level 3 is $165,589 and Level 4 is $193,461. The entire $155,000-$160,000 range clears Level 2 in New York but remains below Level 3. This is stronger than San Francisco, where the range clears Level 1 but not Level 2.</x:v>
      </x:c>
      <x:c r="O203" s="31" t="str">
        <x:v>New York, NY</x:v>
      </x:c>
      <x:c r="P203" s="31" t="str">
        <x:v>Los Angeles, CA; San Francisco, CA; Seattle, WA</x:v>
      </x:c>
      <x:c r="Q203" s="31" t="str">
        <x:v>Hybrid; must live within 50 miles of a listed hub after relocation</x:v>
      </x:c>
      <x:c r="R203" s="31" t="str">
        <x:v>The posting does not exclude sponsorship. The official form supports truthful disclosure of current time-limited U.S. work authorization and separately asks about STEM extension eligibility.</x:v>
      </x:c>
      <x:c r="S203" s="31" t="str">
        <x:v>Exceptional new-grad fit</x:v>
      </x:c>
      <x:c r="T203" s="31" t="str">
        <x:v>The role targets 2027 graduates with prior industry software experience, scalable-system exposure, strong product instincts and end-to-end shipping. The internships, full-stack platform work and production-oriented projects align directly.</x:v>
      </x:c>
      <x:c r="U203" s="31" t="str">
        <x:v>Yuxuan_Chen_Resume_Zip_Software_Engineer_New_Grad_20260907.pdf</x:v>
      </x:c>
      <x:c r="V203" s="31" t="str">
        <x:v>None</x:v>
      </x:c>
      <x:c r="W203" s="31" t="str">
        <x:v>Submitted successfully through the official Ashby application on 2026-09-08; authoritative acknowledgement confirmed the application was received. Selected time-limited authorization, 1-2 years, STEM extension eligible, not currently near a hub but able to relocate, New York first preference, Malden current location, December 2026 Northeastern graduation, and prior software-engineering experience Yes. No transcript or cover letter submitted.</x:v>
      </x:c>
    </x:row>
    <x:row r="204">
      <x:c r="A204" s="28" t="str">
        <x:v>Valon Tech</x:v>
      </x:c>
      <x:c r="B204" s="28" t="str">
        <x:v>Software Engineer New Grad</x:v>
      </x:c>
      <x:c r="C204" s="28" t="str">
        <x:v>LinkedIn New York and San Francisco recent-results listings</x:v>
      </x:c>
      <x:c r="D204" s="28" t="str">
        <x:v>https://jobs.ashbyhq.com/valon/e08ad09a-4408-4210-8c1b-da6510f83324/application</x:v>
      </x:c>
      <x:c r="E204" s="29" t="str">
        <x:v>LinkedIn posted approximately 2026-09-01</x:v>
      </x:c>
      <x:c r="F204" s="29" t="str">
        <x:v>2026-09-08</x:v>
      </x:c>
      <x:c r="G204" s="29"/>
      <x:c r="H204" s="29"/>
      <x:c r="I204" s="28" t="str">
        <x:v>Submitted</x:v>
      </x:c>
      <x:c r="J204" s="30" t="n">
        <x:v>135000</x:v>
      </x:c>
      <x:c r="K204" s="30" t="n">
        <x:v>160000</x:v>
      </x:c>
      <x:c r="L204" s="28" t="str">
        <x:v>15-1252</x:v>
      </x:c>
      <x:c r="M204" s="28" t="str">
        <x:v>Software Developers</x:v>
      </x:c>
      <x:c r="N204" s="31" t="str">
        <x:v>New York-Newark-Jersey City Level 1 is $109,845, Level 2 is $137,717, Level 3 is $165,589 and Level 4 is $193,461. The full $135,000-$160,000 range clears Level 1 and offers from $137,717 clear Level 2. New York is stronger than San Francisco, where the $135,000 minimum is below Level 1 and the maximum clears only Level 1.</x:v>
      </x:c>
      <x:c r="O204" s="31" t="str">
        <x:v>New York, NY</x:v>
      </x:c>
      <x:c r="P204" s="31" t="str">
        <x:v>San Francisco, CA</x:v>
      </x:c>
      <x:c r="Q204" s="31" t="str">
        <x:v>On-site</x:v>
      </x:c>
      <x:c r="R204" s="31" t="str">
        <x:v>The posting does not state a restriction. The official form explicitly asks about current U.S. authorization and future sponsorship; answer Yes to both current authorization and future sponsorship requirement.</x:v>
      </x:c>
      <x:c r="S204" s="31" t="str">
        <x:v>Exceptional new-grad fit</x:v>
      </x:c>
      <x:c r="T204" s="31" t="str">
        <x:v>The role asks for 0-1 year, a CS-related degree, scalable application experience, strong communication and product collaboration. The internships, Python/TypeScript/Java background and full-stack platform ownership align directly.</x:v>
      </x:c>
      <x:c r="U204" s="31" t="str">
        <x:v>Yuxuan_Chen_Resume_Zip_Software_Engineer_New_Grad_20260907.pdf</x:v>
      </x:c>
      <x:c r="V204" s="31" t="str">
        <x:v>None</x:v>
      </x:c>
      <x:c r="W204" s="31" t="str">
        <x:v>Submitted successfully through the official Ashby application on 2026-09-08; authoritative Success confirmation received. Answered current authorization Yes and future sponsorship Yes; supplied LinkedIn and GitHub, left referral blank, and completed voluntary demographics as under 30, woman, not transgender, heterosexual/straight, Asian/Asian American, none of the listed communities, female, Asian (not Hispanic/Latino), and not a protected veteran. No transcript or cover letter submitted.</x:v>
      </x:c>
    </x:row>
    <x:row r="205">
      <x:c r="A205" s="28" t="str">
        <x:v>Lila Sciences</x:v>
      </x:c>
      <x:c r="B205" s="28" t="str">
        <x:v>Machine Learning Engineer I/II, Applied AI</x:v>
      </x:c>
      <x:c r="C205" s="28" t="str">
        <x:v>https://www.linkedin.com/jobs/view/4464639739/</x:v>
      </x:c>
      <x:c r="D205" s="28" t="str">
        <x:v>https://www.linkedin.com/jobs/view/4464639739/apply/?openSDUIApplyFlow=true</x:v>
      </x:c>
      <x:c r="E205" s="29" t="str">
        <x:v>LinkedIn posted 2026-09-08</x:v>
      </x:c>
      <x:c r="F205" s="29" t="str">
        <x:v>2026-09-08</x:v>
      </x:c>
      <x:c r="G205" s="29"/>
      <x:c r="H205" s="29"/>
      <x:c r="I205" s="28" t="str">
        <x:v>Halted</x:v>
      </x:c>
      <x:c r="J205" s="30" t="n">
        <x:v>116000</x:v>
      </x:c>
      <x:c r="K205" s="30" t="n">
        <x:v>170000</x:v>
      </x:c>
      <x:c r="L205" s="28" t="str">
        <x:v>15-2051</x:v>
      </x:c>
      <x:c r="M205" s="28" t="str">
        <x:v>Data Scientists</x:v>
      </x:c>
      <x:c r="N205" s="31" t="str">
        <x:v>Boston-Cambridge-Newton Data Scientists Level 1 is $88,920, Level 2 is $112,861, Level 3 is $136,781 and Level 4 is $160,722. The full $116,000-$170,000 range clears Level 2; offers from $136,781 clear Level 3 and offers from $160,722 clear Level 4.</x:v>
      </x:c>
      <x:c r="O205" s="31" t="str">
        <x:v>Cambridge, MA</x:v>
      </x:c>
      <x:c r="P205" s="31"/>
      <x:c r="Q205" s="31" t="str">
        <x:v>On-site</x:v>
      </x:c>
      <x:c r="R205" s="31" t="str">
        <x:v>The full posting and first application step do not state a sponsorship restriction. Sponsorship support for this requisition is not guaranteed and must be disclosed truthfully if asked later in the form.</x:v>
      </x:c>
      <x:c r="S205" s="31" t="str">
        <x:v>Strong applied-AI fit</x:v>
      </x:c>
      <x:c r="T205" s="31" t="str">
        <x:v>The role emphasizes Python, model evaluation loops, experiment design, traces and logs, LLMs, RAG, agentic workflows, and moving research capabilities into production. These align closely with the Northeastern AI-agent evaluation platform and internship work; direct PyTorch/JAX/TensorFlow post-training depth is the main stretch.</x:v>
      </x:c>
      <x:c r="U205" s="31" t="str">
        <x:v>Yuxuan_Chen_Resume_Giga_Software_Engineer_AI_Agents_20260907.pdf planned</x:v>
      </x:c>
      <x:c r="V205" s="31" t="str">
        <x:v>None. The remaining blocker is technical browser control, not missing applicant information.</x:v>
      </x:c>
      <x:c r="W205" s="31" t="str">
        <x:v>High-priority Massachusetts application. Full LinkedIn description reviewed. Contact details and location were entered, but LinkedIn browser input dispatch repeatedly timed out when advancing/uploading the tailored resume. Reuse the existing Giga AI Agents resume; no new resume needed. Retry from the saved LinkedIn Easy Apply draft.</x:v>
      </x:c>
    </x:row>
    <x:row r="206">
      <x:c r="A206" s="28" t="str">
        <x:v>Greylock Partners portfolio companies</x:v>
      </x:c>
      <x:c r="B206" s="28" t="str">
        <x:v>Forward Deployed Engineer (Multiple Opportunities)</x:v>
      </x:c>
      <x:c r="C206" s="28" t="str">
        <x:v>https://www.linkedin.com/jobs/view/4453260548/</x:v>
      </x:c>
      <x:c r="D206" s="28" t="str">
        <x:v>https://www.linkedin.com/jobs/view/4453260548/apply/?openSDUIApplyFlow=true</x:v>
      </x:c>
      <x:c r="E206" s="29" t="str">
        <x:v>LinkedIn reposted 2026-09-08</x:v>
      </x:c>
      <x:c r="F206" s="29" t="str">
        <x:v>2026-09-08</x:v>
      </x:c>
      <x:c r="G206" s="29"/>
      <x:c r="H206" s="29"/>
      <x:c r="I206" s="28" t="str">
        <x:v>Needs input</x:v>
      </x:c>
      <x:c r="J206" s="30"/>
      <x:c r="K206" s="30"/>
      <x:c r="L206" s="28" t="str">
        <x:v>15-1252</x:v>
      </x:c>
      <x:c r="M206" s="28" t="str">
        <x:v>Software Developers</x:v>
      </x:c>
      <x:c r="N206" s="31" t="str">
        <x:v>The listing covers multiple undisclosed San Francisco portfolio companies and does not publish compensation. San Francisco-Oakland-Berkeley Software Developers Level 1 is $137,093, Level 2 is $171,080, Level 3 is $205,046 and Level 4 is $239,034; compatibility cannot be confirmed until a specific employer and salary are identified.</x:v>
      </x:c>
      <x:c r="O206" s="31" t="str">
        <x:v>San Francisco, CA</x:v>
      </x:c>
      <x:c r="P206" s="31"/>
      <x:c r="Q206" s="31" t="str">
        <x:v>On-site</x:v>
      </x:c>
      <x:c r="R206" s="31" t="str">
        <x:v>Not stated. The underlying Seed-to-Series-B employers are undisclosed, so sponsorship history and policy cannot yet be verified.</x:v>
      </x:c>
      <x:c r="S206" s="31" t="str">
        <x:v>Strong early-career FDE fit with employer uncertainty</x:v>
      </x:c>
      <x:c r="T206" s="31" t="str">
        <x:v>The role asks for 1+ year, production deployment, customer-facing problem solving, and rapid prototyping in TypeScript, JavaScript or Python. The candidate has relevant internship and research delivery experience, but the role favors startup intensity and future-founder motivation.</x:v>
      </x:c>
      <x:c r="U206" s="31" t="str">
        <x:v>Yuxuan_Chen_Resume_Giga_Software_Engineer_AI_Agents_20260907.pdf planned</x:v>
      </x:c>
      <x:c r="V206" s="31" t="str">
        <x:v>Action-time confirmation is required before sending contact details, resume, LinkedIn profile, education, experience, work authorization and any later form answers to Greylock Partners for distribution to undisclosed portfolio companies.</x:v>
      </x:c>
      <x:c r="W206" s="31" t="str">
        <x:v>Secondary-priority opportunity because the actual employers, salaries and sponsorship policies are undisclosed. Full LinkedIn description reviewed. Reuse the existing Giga AI Agents resume; no new version needed.</x:v>
      </x:c>
    </x:row>
    <x:row r="207">
      <x:c r="A207" s="28" t="str">
        <x:v>Epic</x:v>
      </x:c>
      <x:c r="B207" s="28" t="str">
        <x:v>Entry-Level Technical Solutions Engineer</x:v>
      </x:c>
      <x:c r="C207" s="28" t="str">
        <x:v>https://www.linkedin.com/jobs/view/4377639606/</x:v>
      </x:c>
      <x:c r="D207" s="28" t="str">
        <x:v>https://epic.avature.net/Careers/RegisterMethod?folderId=742&amp;source=LinkedIn</x:v>
      </x:c>
      <x:c r="E207" s="29" t="str">
        <x:v>LinkedIn reposted 2026-09-08</x:v>
      </x:c>
      <x:c r="F207" s="29" t="str">
        <x:v>2026-09-08</x:v>
      </x:c>
      <x:c r="G207" s="29"/>
      <x:c r="H207" s="29"/>
      <x:c r="I207" s="28" t="str">
        <x:v>Halted</x:v>
      </x:c>
      <x:c r="J207" s="30"/>
      <x:c r="K207" s="30"/>
      <x:c r="L207" s="28" t="str">
        <x:v>15-1252</x:v>
      </x:c>
      <x:c r="M207" s="28" t="str">
        <x:v>Software Developers</x:v>
      </x:c>
      <x:c r="N207" s="31" t="str">
        <x:v>The posting does not disclose salary. The role is based in Madison, Wisconsin, but wage compatibility is moot because the posting explicitly requires authorization without visa sponsorship.</x:v>
      </x:c>
      <x:c r="O207" s="31" t="str">
        <x:v>Madison, WI</x:v>
      </x:c>
      <x:c r="P207" s="31" t="str">
        <x:v>LinkedIn card labels La Crosse, WI, but the full description says the role is based on the Madison-area campus</x:v>
      </x:c>
      <x:c r="Q207" s="31" t="str">
        <x:v>On-site; relocation required and reimbursed; occasional customer travel</x:v>
      </x:c>
      <x:c r="R207" s="31" t="str">
        <x:v>Incompatible: the full posting explicitly requires eligibility to work in the United States without visa sponsorship.</x:v>
      </x:c>
      <x:c r="S207" s="31" t="str">
        <x:v>Moderate technical fit but visa-incompatible</x:v>
      </x:c>
      <x:c r="T207" s="31" t="str">
        <x:v>The degree, problem-solving, implementation and customer collaboration requirements are realistic, but the position is more technical support/implementation than software engineering and has a decisive sponsorship exclusion.</x:v>
      </x:c>
      <x:c r="U207" s="31" t="str">
        <x:v>Not used</x:v>
      </x:c>
      <x:c r="V207" s="31" t="str">
        <x:v>None</x:v>
      </x:c>
      <x:c r="W207" s="31" t="str">
        <x:v>Halted after complete LinkedIn description review because the no-sponsorship requirement conflicts with the candidate’s future H-1B need. No tailored resume created.</x:v>
      </x:c>
    </x:row>
    <x:row r="208">
      <x:c r="A208" s="28" t="str">
        <x:v>Capgemini</x:v>
      </x:c>
      <x:c r="B208" s="28" t="str">
        <x:v>Associate Software Engineer (actual role: Level 1 Service Desk Analyst)</x:v>
      </x:c>
      <x:c r="C208" s="28" t="str">
        <x:v>https://www.linkedin.com/jobs/view/4464650414/</x:v>
      </x:c>
      <x:c r="D208" s="28" t="str">
        <x:v>LinkedIn external apply to Capgemini careers</x:v>
      </x:c>
      <x:c r="E208" s="29" t="str">
        <x:v>LinkedIn posted 2026-09-08</x:v>
      </x:c>
      <x:c r="F208" s="29" t="str">
        <x:v>2026-09-08</x:v>
      </x:c>
      <x:c r="G208" s="29"/>
      <x:c r="H208" s="29"/>
      <x:c r="I208" s="28" t="str">
        <x:v>Halted</x:v>
      </x:c>
      <x:c r="J208" s="30" t="n">
        <x:v>29973</x:v>
      </x:c>
      <x:c r="K208" s="30" t="n">
        <x:v>69014</x:v>
      </x:c>
      <x:c r="L208" s="28" t="str">
        <x:v>15-1232</x:v>
      </x:c>
      <x:c r="M208" s="28" t="str">
        <x:v>Computer User Support Specialists</x:v>
      </x:c>
      <x:c r="N208" s="31" t="str">
        <x:v>The $29,973-$69,014 range is for a Tampa Level 1 service-desk position, not software development. It is below the $84,448 Tampa Software Developers Level 1 benchmark and is incompatible with the target software-engineering compensation path.</x:v>
      </x:c>
      <x:c r="O208" s="31" t="str">
        <x:v>Tampa, FL</x:v>
      </x:c>
      <x:c r="P208" s="31" t="str">
        <x:v>LinkedIn card incorrectly labels Atlanta, GA; the full description states Tampa, FL</x:v>
      </x:c>
      <x:c r="Q208" s="31" t="str">
        <x:v>On-site; rotational shifts and high inbound call volume</x:v>
      </x:c>
      <x:c r="R208" s="31" t="str">
        <x:v>Not stated, but the role is independently unsuitable based on function and compensation.</x:v>
      </x:c>
      <x:c r="S208" s="31" t="str">
        <x:v>Poor; misleading title</x:v>
      </x:c>
      <x:c r="T208" s="31" t="str">
        <x:v>The full description is for service-desk phone, email and ticket support with Windows, Office, networking and ITIL requirements, not software design or development.</x:v>
      </x:c>
      <x:c r="U208" s="31" t="str">
        <x:v>Not used</x:v>
      </x:c>
      <x:c r="V208" s="31" t="str">
        <x:v>None</x:v>
      </x:c>
      <x:c r="W208" s="31" t="str">
        <x:v>Halted after full description review. The LinkedIn title does not match the actual Level 1 Service Desk Analyst role, and the compensation is materially below the target software-engineering wage floor.</x:v>
      </x:c>
    </x:row>
    <x:row r="209">
      <x:c r="A209" s="28" t="str">
        <x:v>73 Strings</x:v>
      </x:c>
      <x:c r="B209" s="28" t="str">
        <x:v>Software Engineer, AI Product Engineering</x:v>
      </x:c>
      <x:c r="C209" s="28" t="str">
        <x:v>https://www.linkedin.com/jobs/view/4463541309/</x:v>
      </x:c>
      <x:c r="D209" s="28" t="str">
        <x:v>https://73strings.teamtailor.com/jobs/8342597-software-engineer-ai-product-engineering?utm_source=LinkedIn</x:v>
      </x:c>
      <x:c r="E209" s="29" t="str">
        <x:v>LinkedIn posted 2026-09-08</x:v>
      </x:c>
      <x:c r="F209" s="29" t="str">
        <x:v>2026-09-08</x:v>
      </x:c>
      <x:c r="G209" s="29"/>
      <x:c r="H209" s="29"/>
      <x:c r="I209" s="28" t="str">
        <x:v>Halted</x:v>
      </x:c>
      <x:c r="J209" s="30"/>
      <x:c r="K209" s="30"/>
      <x:c r="L209" s="28" t="str">
        <x:v>15-1252</x:v>
      </x:c>
      <x:c r="M209" s="28" t="str">
        <x:v>Software Developers</x:v>
      </x:c>
      <x:c r="N209" s="31" t="str">
        <x:v>Salary is not disclosed. New York-Newark-Jersey City Software Developers Level 1 is $109,845 and Level 2 is $137,717, but compatibility cannot be established without compensation. The seniority mismatch is independently decisive.</x:v>
      </x:c>
      <x:c r="O209" s="31" t="str">
        <x:v>New York, NY</x:v>
      </x:c>
      <x:c r="P209" s="31"/>
      <x:c r="Q209" s="31" t="str">
        <x:v>On-site</x:v>
      </x:c>
      <x:c r="R209" s="31" t="str">
        <x:v>Not stated. The role was halted for seniority mismatch before application.</x:v>
      </x:c>
      <x:c r="S209" s="31" t="str">
        <x:v>Strong keyword overlap but unrealistic seniority</x:v>
      </x:c>
      <x:c r="T209" s="31" t="str">
        <x:v>The LLM, retrieval, agentic workflow, evaluation, Python, TypeScript, Java, CI/CD and observability content overlaps strongly. However, the posting explicitly hires only mid-level and senior engineers and requires production ownership, domain-driven design, Kubernetes, on-call responsibility, technical initiatives and mentorship.</x:v>
      </x:c>
      <x:c r="U209" s="31" t="str">
        <x:v>Not used</x:v>
      </x:c>
      <x:c r="V209" s="31" t="str">
        <x:v>None</x:v>
      </x:c>
      <x:c r="W209" s="31" t="str">
        <x:v>Halted after complete LinkedIn description review because the role explicitly excludes entry-level hiring. No tailored resume created despite strong AI keyword overlap.</x:v>
      </x:c>
    </x:row>
    <x:row r="210">
      <x:c r="A210" s="28" t="str">
        <x:v>EarnIn</x:v>
      </x:c>
      <x:c r="B210" s="28" t="str">
        <x:v>Machine Learning Engineer</x:v>
      </x:c>
      <x:c r="C210" s="28" t="str">
        <x:v>https://www.linkedin.com/jobs/view/4464645752/</x:v>
      </x:c>
      <x:c r="D210" s="28" t="str">
        <x:v>https://job-boards.greenhouse.io/earnin/jobs/8168239?gh_src=t4cnl6h11us</x:v>
      </x:c>
      <x:c r="E210" s="29" t="str">
        <x:v>LinkedIn posted 2026-09-08</x:v>
      </x:c>
      <x:c r="F210" s="29" t="str">
        <x:v>2026-09-08</x:v>
      </x:c>
      <x:c r="G210" s="29"/>
      <x:c r="H210" s="29"/>
      <x:c r="I210" s="28" t="str">
        <x:v>Halted</x:v>
      </x:c>
      <x:c r="J210" s="30" t="n">
        <x:v>187000</x:v>
      </x:c>
      <x:c r="K210" s="30" t="n">
        <x:v>229000</x:v>
      </x:c>
      <x:c r="L210" s="28" t="str">
        <x:v>15-2051</x:v>
      </x:c>
      <x:c r="M210" s="28" t="str">
        <x:v>Data Scientists</x:v>
      </x:c>
      <x:c r="N210" s="31" t="str">
        <x:v>The $187,000-$229,000 range comfortably clears the San Jose-Sunnyvale-Santa Clara Data Scientists wage levels relevant to Mountain View. Compensation is compatible, but the mandatory experience screen is not.</x:v>
      </x:c>
      <x:c r="O210" s="31" t="str">
        <x:v>Mountain View, CA</x:v>
      </x:c>
      <x:c r="P210" s="31"/>
      <x:c r="Q210" s="31" t="str">
        <x:v>Hybrid; Mountain View headquarters two days per week</x:v>
      </x:c>
      <x:c r="R210" s="31" t="str">
        <x:v>The posting does not prohibit sponsorship. The official Greenhouse form asks separately about present authorization and future immigration support; however, the application was halted before transmitting data because of the experience screen.</x:v>
      </x:c>
      <x:c r="S210" s="31" t="str">
        <x:v>Strong systems overlap but fails required ML-experience screen</x:v>
      </x:c>
      <x:c r="T210" s="31" t="str">
        <x:v>Python APIs, LLM agents, evaluation harnesses, observability, OpenTelemetry, Docker and async workflows align well. The form directly asks whether the candidate has 2+ years of industry experience building and shipping ML systems; the truthful answer is No. The resume also lacks the requested PyTorch training, Spark/Databricks and production-model ownership depth.</x:v>
      </x:c>
      <x:c r="U210" s="31" t="str">
        <x:v>Not used</x:v>
      </x:c>
      <x:c r="V210" s="31" t="str">
        <x:v>None</x:v>
      </x:c>
      <x:c r="W210" s="31" t="str">
        <x:v>Halted after complete LinkedIn and official Greenhouse review because a required 2+ years industry-ML question would have to be answered No and likely acts as a knockout screen. No data transmitted and no new resume created.</x:v>
      </x:c>
    </x:row>
    <x:row r="211">
      <x:c r="A211" s="28" t="str">
        <x:v>Mobina AI talent network</x:v>
      </x:c>
      <x:c r="B211" s="28" t="str">
        <x:v>Software Engineers: Full-Stack, Front-End, Backend, AI/ML</x:v>
      </x:c>
      <x:c r="C211" s="28" t="str">
        <x:v>https://www.linkedin.com/jobs/view/4463521597/</x:v>
      </x:c>
      <x:c r="D211" s="28" t="str">
        <x:v>https://talent.mobina.ai/i/Q3uK6Hwycg91dNiQ</x:v>
      </x:c>
      <x:c r="E211" s="29" t="str">
        <x:v>LinkedIn posted 2026-09-08</x:v>
      </x:c>
      <x:c r="F211" s="29" t="str">
        <x:v>2026-09-08</x:v>
      </x:c>
      <x:c r="G211" s="29"/>
      <x:c r="H211" s="29"/>
      <x:c r="I211" s="28" t="str">
        <x:v>Needs input</x:v>
      </x:c>
      <x:c r="J211" s="30"/>
      <x:c r="K211" s="30"/>
      <x:c r="L211" s="28" t="str">
        <x:v>15-1252</x:v>
      </x:c>
      <x:c r="M211" s="28" t="str">
        <x:v>Software Developers</x:v>
      </x:c>
      <x:c r="N211" s="31" t="str">
        <x:v>The network covers more than 100 undisclosed roles and publishes no salary or exact worksite for each opportunity. The San Francisco Software Developers Level 1 benchmark is $137,093, but compatibility must be reassessed for each employer and offer.</x:v>
      </x:c>
      <x:c r="O211" s="31" t="str">
        <x:v>San Francisco, CA</x:v>
      </x:c>
      <x:c r="P211" s="31" t="str">
        <x:v>Undisclosed startup opportunities may vary</x:v>
      </x:c>
      <x:c r="Q211" s="31" t="str">
        <x:v>Primarily on-site per LinkedIn listing; employer-specific arrangements unknown</x:v>
      </x:c>
      <x:c r="R211" s="31" t="str">
        <x:v>Not stated. The destination is a recruiting network rather than a named employer, so sponsorship history cannot be evaluated until a specific match is disclosed.</x:v>
      </x:c>
      <x:c r="S211" s="31" t="str">
        <x:v>Broad technical match with destination uncertainty</x:v>
      </x:c>
      <x:c r="T211" s="31" t="str">
        <x:v>The network recruits full-stack, backend, frontend, AI/ML and infrastructure engineers for venture-backed startups. Python, TypeScript, React, backend APIs, cloud and agentic-AI work match several categories, but role-specific seniority is unavailable.</x:v>
      </x:c>
      <x:c r="U211" s="31" t="str">
        <x:v>Yuxuan_Chen_Resume_Giga_Software_Engineer_AI_Agents_20260907.pdf planned</x:v>
      </x:c>
      <x:c r="V211" s="31" t="str">
        <x:v>Action-time confirmation is required before sending first name, last name, email, LinkedIn URL and optional resume to Mobina AI for potential distribution or matching across more than 100 undisclosed startup roles.</x:v>
      </x:c>
      <x:c r="W211" s="31" t="str">
        <x:v>Secondary-priority talent network. The official form was inspected without transmitting data; its first page requests contact details and LinkedIn, with resume optional. Reuse the existing Giga AI Agents resume if submitted; no new version needed.</x:v>
      </x:c>
    </x:row>
    <x:row r="212">
      <x:c r="A212" s="28" t="str">
        <x:v>ByteDance</x:v>
      </x:c>
      <x:c r="B212" s="28" t="str">
        <x:v>Backend Software Engineer Graduate (Platform) - 2027 Start</x:v>
      </x:c>
      <x:c r="C212" s="28" t="str">
        <x:v>https://www.linkedin.com/jobs/view/4448124963/</x:v>
      </x:c>
      <x:c r="D212" s="28" t="str">
        <x:v>https://jobs.bytedance.com/en/resume/7667267464923171077/apply</x:v>
      </x:c>
      <x:c r="E212" s="29" t="str">
        <x:v>LinkedIn reposted 2026-09-08</x:v>
      </x:c>
      <x:c r="F212" s="29" t="str">
        <x:v>2026-09-08</x:v>
      </x:c>
      <x:c r="G212" s="29"/>
      <x:c r="H212" s="29"/>
      <x:c r="I212" s="28" t="str">
        <x:v>Needs input</x:v>
      </x:c>
      <x:c r="J212" s="30" t="n">
        <x:v>128000</x:v>
      </x:c>
      <x:c r="K212" s="30" t="n">
        <x:v>256000</x:v>
      </x:c>
      <x:c r="L212" s="28" t="str">
        <x:v>15-1252</x:v>
      </x:c>
      <x:c r="M212" s="28" t="str">
        <x:v>Software Developers</x:v>
      </x:c>
      <x:c r="N212" s="31" t="str">
        <x:v>New York-Newark-Jersey City Software Developers Level 1 is $109,845, Level 2 is $137,717, Level 3 is $165,589 and Level 4 is $193,461. The entire $128,000-$256,000 range clears Level 1; offers from $137,717 clear Level 2, from $165,589 clear Level 3 and from $193,461 clear Level 4.</x:v>
      </x:c>
      <x:c r="O212" s="31" t="str">
        <x:v>New York, NY</x:v>
      </x:c>
      <x:c r="P212" s="31" t="str">
        <x:v>A separate San Jose posting exists and would consume one of the global two-position ByteDance/TikTok application slots</x:v>
      </x:c>
      <x:c r="Q212" s="31" t="str">
        <x:v>On-site</x:v>
      </x:c>
      <x:c r="R212" s="31" t="str">
        <x:v>The posting does not state a restriction. ByteDance has historical U.S. H-1B sponsorship, but support for this requisition must be confirmed during the application process.</x:v>
      </x:c>
      <x:c r="S212" s="31" t="str">
        <x:v>Exceptional 2027 graduate backend/platform fit</x:v>
      </x:c>
      <x:c r="T212" s="31" t="str">
        <x:v>The role accepts coursework, projects or internships in web development, Linux, distributed or networking systems. Python, web services, cloud GPU evaluation, platform tooling, debugging and full-stack systems align directly. No professional-experience minimum is stated.</x:v>
      </x:c>
      <x:c r="U212" s="31" t="str">
        <x:v>Yuxuan_Chen_Resume_Giga_Software_Engineer_AI_Agents_20260907.pdf planned</x:v>
      </x:c>
      <x:c r="V212" s="31" t="str">
        <x:v>Manual ByteDance Careers account sign-in is required. Action-time confirmation is then required before sending contact details, resume, education/work history, availability, F-1/OPT and sponsorship answers to ByteDance.</x:v>
      </x:c>
      <x:c r="W212" s="31" t="str">
        <x:v>High-priority application. Full LinkedIn and official ByteDance descriptions reviewed. The official application URL redirects to ByteDance Careers sign-in and was left visible for manual login. The posting limits candidates to two ByteDance/TikTok roles globally, so this New York platform role should be one of the selected two. Reuse the existing Giga AI Agents resume; no new version needed.</x:v>
      </x:c>
    </x:row>
    <x:row r="213">
      <x:c r="A213" s="28" t="str">
        <x:v>IBM</x:v>
      </x:c>
      <x:c r="B213" s="28" t="str">
        <x:v>Entry Level Software Engineering – Agentic AI &amp; Workflow Automation 2027</x:v>
      </x:c>
      <x:c r="C213" s="28" t="str">
        <x:v>https://www.linkedin.com/jobs/view/4457223013/</x:v>
      </x:c>
      <x:c r="D213" s="28" t="str">
        <x:v>https://careers.ibm.com/en_US/careers/JobDetail?jobId=129901</x:v>
      </x:c>
      <x:c r="E213" s="29" t="str">
        <x:v>2026-08-25</x:v>
      </x:c>
      <x:c r="F213" s="29" t="str">
        <x:v>2026-09-08</x:v>
      </x:c>
      <x:c r="G213" s="29"/>
      <x:c r="H213" s="29"/>
      <x:c r="I213" s="28" t="str">
        <x:v>Halted</x:v>
      </x:c>
      <x:c r="J213" s="30" t="n">
        <x:v>120960</x:v>
      </x:c>
      <x:c r="K213" s="30" t="n">
        <x:v>181440</x:v>
      </x:c>
      <x:c r="L213" s="28" t="str">
        <x:v>15-1252</x:v>
      </x:c>
      <x:c r="M213" s="28" t="str">
        <x:v>Software Developers</x:v>
      </x:c>
      <x:c r="N213" s="31" t="str">
        <x:v>New York-Newark-Jersey City Software Developers Level 1 is $109,845, Level 2 is $137,717, Level 3 is $165,589 and Level 4 is $193,461. The full $120,960-$181,440 range clears Level 1; offers from $137,717 clear Level 2 and from $165,589 clear Level 3. Compensation is compatible, but the visa policy is not.</x:v>
      </x:c>
      <x:c r="O213" s="31" t="str">
        <x:v>New York, NY</x:v>
      </x:c>
      <x:c r="P213" s="31"/>
      <x:c r="Q213" s="31" t="str">
        <x:v>Hybrid; travel up to 20% or one day per week</x:v>
      </x:c>
      <x:c r="R213" s="31" t="str">
        <x:v>Incompatible: IBM’s official posting states that it will not provide visa sponsorship now or in the future and requires candidates to work without any present or future sponsorship need.</x:v>
      </x:c>
      <x:c r="S213" s="31" t="str">
        <x:v>Exceptional technical fit but visa-incompatible</x:v>
      </x:c>
      <x:c r="T213" s="31" t="str">
        <x:v>Python services, agents, workflow planners, retrieval pipelines, evaluation harnesses, APIs, Kubernetes, vector databases, Docker, distributed systems, data pipelines and CI/CD align almost exactly with the candidate’s experience. The explicit no-sponsorship policy is decisive.</x:v>
      </x:c>
      <x:c r="U213" s="31" t="str">
        <x:v>Not used</x:v>
      </x:c>
      <x:c r="V213" s="31" t="str">
        <x:v>None</x:v>
      </x:c>
      <x:c r="W213" s="31" t="str">
        <x:v>Halted after complete LinkedIn and IBM careers review because the official listing explicitly prohibits current or future visa sponsorship. No data transmitted and no tailored resume created despite exceptional technical overlap.</x:v>
      </x:c>
    </x:row>
    <x:row r="214">
      <x:c r="A214" s="28" t="str">
        <x:v>L3Harris Technologies</x:v>
      </x:c>
      <x:c r="B214" s="28" t="str">
        <x:v>Intern, Software Engineer Spring 2027</x:v>
      </x:c>
      <x:c r="C214" s="28" t="str">
        <x:v>https://www.linkedin.com/jobs/view/4455737028/</x:v>
      </x:c>
      <x:c r="D214" s="28" t="str">
        <x:v>https://careers.l3harris.com/job/-/-/4832/99372978528?src=SNS-10240</x:v>
      </x:c>
      <x:c r="E214" s="29" t="str">
        <x:v>LinkedIn reposted 2026-09-08</x:v>
      </x:c>
      <x:c r="F214" s="29" t="str">
        <x:v>2026-09-08</x:v>
      </x:c>
      <x:c r="G214" s="29"/>
      <x:c r="H214" s="29"/>
      <x:c r="I214" s="28" t="str">
        <x:v>Halted</x:v>
      </x:c>
      <x:c r="J214" s="30"/>
      <x:c r="K214" s="30"/>
      <x:c r="L214" s="28" t="str">
        <x:v>15-1252</x:v>
      </x:c>
      <x:c r="M214" s="28" t="str">
        <x:v>Software Developers</x:v>
      </x:c>
      <x:c r="N214" s="31" t="str">
        <x:v>The January-August 2027 co-op posting does not disclose pay. A location-specific H-1B wage comparison is unnecessary because the defense role warns that many positions require a security clearance available only to U.S. citizens, and the applicant is not eligible for clearance.</x:v>
      </x:c>
      <x:c r="O214" s="31" t="str">
        <x:v>Greenville, TX</x:v>
      </x:c>
      <x:c r="P214" s="31"/>
      <x:c r="Q214" s="31" t="str">
        <x:v>On-site; 9/80 schedule; January-August 2027 co-op</x:v>
      </x:c>
      <x:c r="R214" s="31" t="str">
        <x:v>Incompatible defense/clearance signal: the posting states that many positions require security-clearance eligibility and that clearances may only be granted to U.S. citizens.</x:v>
      </x:c>
      <x:c r="S214" s="31" t="str">
        <x:v>Partial technical fit; clearance-incompatible</x:v>
      </x:c>
      <x:c r="T214" s="31" t="str">
        <x:v>Python, Java, SQL, Linux and software lifecycle experience overlap, but the work centers on embedded real-time tactical radio systems and prefers C/C++, RTOS and hardware/software integration. The applicant lacks U.S.-citizen clearance eligibility.</x:v>
      </x:c>
      <x:c r="U214" s="31" t="str">
        <x:v>Not used</x:v>
      </x:c>
      <x:c r="V214" s="31" t="str">
        <x:v>None</x:v>
      </x:c>
      <x:c r="W214" s="31" t="str">
        <x:v>Halted after full LinkedIn description review. This is a defense embedded-systems co-op with a material citizenship/clearance barrier, so no application or tailored resume was started.</x:v>
      </x:c>
    </x:row>
    <x:row r="215">
      <x:c r="A215" s="28" t="str">
        <x:v>American Express</x:v>
      </x:c>
      <x:c r="B215" s="28" t="str">
        <x:v>Campus Undergraduate Summer Internship Program - 2027 Software Engineer, Enterprise Technology Services</x:v>
      </x:c>
      <x:c r="C215" s="28" t="str">
        <x:v>https://www.linkedin.com/jobs/view/4454289563/</x:v>
      </x:c>
      <x:c r="D215" s="28" t="str">
        <x:v>https://egug.fa.us2.oraclecloud.com/hcmUI/CandidateExperience/en/job/26011679/</x:v>
      </x:c>
      <x:c r="E215" s="29" t="str">
        <x:v>LinkedIn reposted 2026-09-08</x:v>
      </x:c>
      <x:c r="F215" s="29" t="str">
        <x:v>2026-09-08</x:v>
      </x:c>
      <x:c r="G215" s="29"/>
      <x:c r="H215" s="29"/>
      <x:c r="I215" s="28" t="str">
        <x:v>Halted</x:v>
      </x:c>
      <x:c r="J215" s="30" t="n">
        <x:v>50024</x:v>
      </x:c>
      <x:c r="K215" s="30" t="n">
        <x:v>131040</x:v>
      </x:c>
      <x:c r="L215" s="28" t="str">
        <x:v>15-1252</x:v>
      </x:c>
      <x:c r="M215" s="28" t="str">
        <x:v>Software Developers</x:v>
      </x:c>
      <x:c r="N215" s="31" t="str">
        <x:v>The disclosed $24.05-$63.00 hourly range annualizes to approximately $50,024-$131,040 at 2,080 hours. Wage-level analysis is not dispositive because this is a temporary undergraduate internship and the candidate fails the mandatory degree-status and graduation-window requirements.</x:v>
      </x:c>
      <x:c r="O215" s="31" t="str">
        <x:v>Charlotte, NC</x:v>
      </x:c>
      <x:c r="P215" s="31"/>
      <x:c r="Q215" s="31" t="str">
        <x:v>Hybrid; 10-week summer internship</x:v>
      </x:c>
      <x:c r="R215" s="31" t="str">
        <x:v>Explicitly incompatible: American Express states that it will not pursue visa sponsorship for these positions.</x:v>
      </x:c>
      <x:c r="S215" s="31" t="str">
        <x:v>Strong technical overlap but ineligible</x:v>
      </x:c>
      <x:c r="T215" s="31" t="str">
        <x:v>Python, Java, TypeScript, React, APIs, cloud, CI/CD, observability, AI agents and automation match unusually well. However, the role requires current enrollment in a full-time bachelor’s program and graduation between December 2027 and June 2028; the applicant is a master’s student graduating December 2026.</x:v>
      </x:c>
      <x:c r="U215" s="31" t="str">
        <x:v>Not used</x:v>
      </x:c>
      <x:c r="V215" s="31" t="str">
        <x:v>None</x:v>
      </x:c>
      <x:c r="W215" s="31" t="str">
        <x:v>Halted after full LinkedIn description review because both the mandatory undergraduate graduation window and explicit no-sponsorship rule are incompatible. No application or resume tailoring was started.</x:v>
      </x:c>
    </x:row>
    <x:row r="216">
      <x:c r="A216" s="28" t="str">
        <x:v>Naval Nuclear Laboratory (Fluor Marine Propulsion)</x:v>
      </x:c>
      <x:c r="B216" s="28" t="str">
        <x:v>Software Engineer, Entry Level</x:v>
      </x:c>
      <x:c r="C216" s="28" t="str">
        <x:v>https://www.linkedin.com/jobs/view/4461795382/</x:v>
      </x:c>
      <x:c r="D216" s="28" t="str">
        <x:v>Pending - LinkedIn external application redirect did not expose the final URL</x:v>
      </x:c>
      <x:c r="E216" s="29" t="str">
        <x:v>LinkedIn reposted 2026-09-08</x:v>
      </x:c>
      <x:c r="F216" s="29" t="str">
        <x:v>2026-09-08</x:v>
      </x:c>
      <x:c r="G216" s="29"/>
      <x:c r="H216" s="29"/>
      <x:c r="I216" s="28" t="str">
        <x:v>Halted</x:v>
      </x:c>
      <x:c r="J216" s="30" t="n">
        <x:v>63900</x:v>
      </x:c>
      <x:c r="K216" s="30" t="n">
        <x:v>97800</x:v>
      </x:c>
      <x:c r="L216" s="28" t="str">
        <x:v>15-1252</x:v>
      </x:c>
      <x:c r="M216" s="28" t="str">
        <x:v>Software Developers</x:v>
      </x:c>
      <x:c r="N216" s="31" t="str">
        <x:v>The $63,900-$97,800 Niskayuna range is below the New York capital-region software-developer benchmarks expected for H-1B positioning. The official description’s absolute U.S.-citizenship requirement independently disqualifies the role.</x:v>
      </x:c>
      <x:c r="O216" s="31" t="str">
        <x:v>Niskayuna, NY</x:v>
      </x:c>
      <x:c r="P216" s="31" t="str">
        <x:v>A separate West Mifflin, PA posting (LinkedIn 4461775934) has the same title and employer restrictions</x:v>
      </x:c>
      <x:c r="Q216" s="31" t="str">
        <x:v>On-site</x:v>
      </x:c>
      <x:c r="R216" s="31" t="str">
        <x:v>Incompatible: the official description states that all candidates must be U.S. citizens and must qualify for access to classified matter.</x:v>
      </x:c>
      <x:c r="S216" s="31" t="str">
        <x:v>Partial fit; citizenship-incompatible</x:v>
      </x:c>
      <x:c r="T216" s="31" t="str">
        <x:v>The master’s degree, object-oriented programming, CI/CD, testing and debugging background fit at a general level. The role prefers C++, embedded software and programmable hardware, and the applicant cannot satisfy the mandatory citizenship and classified-access conditions.</x:v>
      </x:c>
      <x:c r="U216" s="31" t="str">
        <x:v>Not used</x:v>
      </x:c>
      <x:c r="V216" s="31" t="str">
        <x:v>None</x:v>
      </x:c>
      <x:c r="W216" s="31" t="str">
        <x:v>Halted after complete LinkedIn description review. No application or tailored resume was started because U.S. citizenship is an absolute requirement.</x:v>
      </x:c>
    </x:row>
    <x:row r="217">
      <x:c r="A217" s="28" t="str">
        <x:v>Noom</x:v>
      </x:c>
      <x:c r="B217" s="28" t="str">
        <x:v>Agentic Engineer (New Grad)</x:v>
      </x:c>
      <x:c r="C217" s="28" t="str">
        <x:v>https://www.linkedin.com/jobs/view/4460138014/</x:v>
      </x:c>
      <x:c r="D217" s="28" t="str">
        <x:v>https://www.noom.com/careers/job-listings/?gh_jid=8092909&amp;gh_src=93c4f47a1us</x:v>
      </x:c>
      <x:c r="E217" s="29" t="str">
        <x:v>LinkedIn reposted 2026-09-08</x:v>
      </x:c>
      <x:c r="F217" s="29" t="str">
        <x:v>2026-09-08</x:v>
      </x:c>
      <x:c r="G217" s="29"/>
      <x:c r="H217" s="29"/>
      <x:c r="I217" s="28" t="str">
        <x:v>Halted</x:v>
      </x:c>
      <x:c r="J217" s="30" t="n">
        <x:v>75000</x:v>
      </x:c>
      <x:c r="K217" s="30" t="n">
        <x:v>85000</x:v>
      </x:c>
      <x:c r="L217" s="28" t="str">
        <x:v>15-1252</x:v>
      </x:c>
      <x:c r="M217" s="28" t="str">
        <x:v>Software Developers</x:v>
      </x:c>
      <x:c r="N217" s="31" t="str">
        <x:v>Trenton-Princeton Software Developers Level 1 is $88,296, Level 2 is $110,344, Level 3 is $132,413 and Level 4 is $154,461. The entire $75,000-$85,000 range is below Level 1; even the maximum is $3,296 short. This fails the candidate’s instruction to prioritize roles whose range can reach the local Level 1 wage.</x:v>
      </x:c>
      <x:c r="O217" s="31" t="str">
        <x:v>Princeton, NJ</x:v>
      </x:c>
      <x:c r="P217" s="31"/>
      <x:c r="Q217" s="31" t="str">
        <x:v>Hybrid; two days per week on-site</x:v>
      </x:c>
      <x:c r="R217" s="31" t="str">
        <x:v>The posting does not state a restriction. The official Greenhouse form asks whether future sponsorship is required, but compensation is below the local Level 1 benchmark.</x:v>
      </x:c>
      <x:c r="S217" s="31" t="str">
        <x:v>Exceptional technical fit; wage-incompatible</x:v>
      </x:c>
      <x:c r="T217" s="31" t="str">
        <x:v>Multi-agent coordination, OpenAI and Anthropic APIs, CI/CD, infrastructure as code, telemetry, failure handling, LLM evaluation, regression testing, human-in-the-loop workflows, Python, NLP, Docker and Kubernetes align almost exactly with the candidate’s experience. The salary range is the decisive blocker.</x:v>
      </x:c>
      <x:c r="U217" s="31" t="str">
        <x:v>Not used; existing Yuxuan_Chen_Resume_Giga_Software_Engineer_AI_Agents_20260907.pdf would be the preferred version if reconsidered</x:v>
      </x:c>
      <x:c r="V217" s="31" t="str">
        <x:v>None</x:v>
      </x:c>
      <x:c r="W217" s="31" t="str">
        <x:v>Halted after complete LinkedIn and official Noom/Greenhouse review because the published salary range cannot reach Trenton-Princeton Level 1. The existing Giga AI Agents resume is already suitable, so no new resume was created and no personal data was transmitted.</x:v>
      </x:c>
    </x:row>
    <x:row r="218">
      <x:c r="A218" s="28" t="str">
        <x:v>Jobright.ai</x:v>
      </x:c>
      <x:c r="B218" s="28" t="str">
        <x:v>Machine Learning Engineer, Applied AI — New Grad</x:v>
      </x:c>
      <x:c r="C218" s="28" t="str">
        <x:v>https://www.linkedin.com/jobs/view/4463531253/</x:v>
      </x:c>
      <x:c r="D218" s="28" t="str">
        <x:v>https://jobright.ai/jobs/info/b2b_1785746550287_413</x:v>
      </x:c>
      <x:c r="E218" s="29" t="str">
        <x:v>LinkedIn posted 2026-09-08</x:v>
      </x:c>
      <x:c r="F218" s="29" t="str">
        <x:v>2026-09-08</x:v>
      </x:c>
      <x:c r="G218" s="29"/>
      <x:c r="H218" s="29"/>
      <x:c r="I218" s="28" t="str">
        <x:v>Halted</x:v>
      </x:c>
      <x:c r="J218" s="30"/>
      <x:c r="K218" s="30"/>
      <x:c r="L218" s="28" t="str">
        <x:v>15-2051</x:v>
      </x:c>
      <x:c r="M218" s="28" t="str">
        <x:v>Data Scientists</x:v>
      </x:c>
      <x:c r="N218" s="31" t="str">
        <x:v>The role is remote across the United States and does not disclose salary or a specific employing worksite, so no defensible location-specific prevailing-wage comparison can be made. The official Jobright role page’s explicit No H1B label independently disqualifies it.</x:v>
      </x:c>
      <x:c r="O218" s="31" t="str">
        <x:v>Remote U.S. (worksite pending)</x:v>
      </x:c>
      <x:c r="P218" s="31" t="str">
        <x:v>United States</x:v>
      </x:c>
      <x:c r="Q218" s="31" t="str">
        <x:v>Remote</x:v>
      </x:c>
      <x:c r="R218" s="31" t="str">
        <x:v>Incompatible: the official Jobright role page explicitly labels the position No H1B.</x:v>
      </x:c>
      <x:c r="S218" s="31" t="str">
        <x:v>Exceptional technical fit; visa-incompatible</x:v>
      </x:c>
      <x:c r="T218" s="31" t="str">
        <x:v>Python, ML evaluation, search, ranking, recommendations, training and inference pipelines, backend APIs, latency and cost optimization, monitoring, NLP, retrieval, Docker and cloud align very closely with the candidate’s experience. The No H1B label is decisive.</x:v>
      </x:c>
      <x:c r="U218" s="31" t="str">
        <x:v>Not used; existing Yuxuan_Chen_Resume_Giga_Software_Engineer_AI_Agents_20260907.pdf would otherwise be suitable</x:v>
      </x:c>
      <x:c r="V218" s="31" t="str">
        <x:v>None</x:v>
      </x:c>
      <x:c r="W218" s="31" t="str">
        <x:v>Halted after complete LinkedIn and official Jobright role-page review because the destination explicitly says No H1B. No profile was sent, no application was started and no new resume was created.</x:v>
      </x:c>
    </x:row>
    <x:row r="219">
      <x:c r="A219" s="28" t="str">
        <x:v>GE Aerospace</x:v>
      </x:c>
      <x:c r="B219" s="28" t="str">
        <x:v>AI/ML Software Engineer</x:v>
      </x:c>
      <x:c r="C219" s="28" t="str">
        <x:v>https://www.linkedin.com/jobs/view/4464642928/</x:v>
      </x:c>
      <x:c r="D219" s="28" t="str">
        <x:v>https://careers.geaerospace.com/global/en/job/GAOGAYGLOBALR5039862EXTERNALENGLOBAL/AI-ML-Software-Engineer</x:v>
      </x:c>
      <x:c r="E219" s="29" t="str">
        <x:v>LinkedIn posted 2026-09-08</x:v>
      </x:c>
      <x:c r="F219" s="29" t="str">
        <x:v>2026-09-08</x:v>
      </x:c>
      <x:c r="G219" s="29"/>
      <x:c r="H219" s="29"/>
      <x:c r="I219" s="28" t="str">
        <x:v>Halted</x:v>
      </x:c>
      <x:c r="J219" s="30"/>
      <x:c r="K219" s="30"/>
      <x:c r="L219" s="28" t="str">
        <x:v>15-2051</x:v>
      </x:c>
      <x:c r="M219" s="28" t="str">
        <x:v>Data Scientists</x:v>
      </x:c>
      <x:c r="N219" s="31" t="str">
        <x:v>The remote Texas listing does not disclose compensation or a final employing worksite, so a defensible location-specific wage comparison cannot be completed. The explicit no-sponsorship and U.S.-Person restrictions independently disqualify the role.</x:v>
      </x:c>
      <x:c r="O219" s="31" t="str">
        <x:v>Texas (remote; final worksite unspecified)</x:v>
      </x:c>
      <x:c r="P219" s="31" t="str">
        <x:v>Remote within Texas</x:v>
      </x:c>
      <x:c r="Q219" s="31" t="str">
        <x:v>Remote; in-person new-hire orientation required on day one</x:v>
      </x:c>
      <x:c r="R219" s="31" t="str">
        <x:v>Incompatible: GE Aerospace explicitly states it will not sponsor employment visas now or in the future. The role also requires U.S.-Person status for export-controlled information: citizen, lawful permanent resident, asylee or refugee.</x:v>
      </x:c>
      <x:c r="S219" s="31" t="str">
        <x:v>Exceptional technical fit; immigration-incompatible</x:v>
      </x:c>
      <x:c r="T219" s="31" t="str">
        <x:v>Applied AI applications, AI-enabled workflows, model integration, orchestration, automation, Python, prompt engineering, evaluation, AWS/GCP, Docker/Kubernetes and agent frameworks closely match the candidate. F-1/OPT status does not meet the mandatory U.S.-Person condition.</x:v>
      </x:c>
      <x:c r="U219" s="31" t="str">
        <x:v>Not used; existing Yuxuan_Chen_Resume_Giga_Software_Engineer_AI_Agents_20260907.pdf would otherwise be suitable</x:v>
      </x:c>
      <x:c r="V219" s="31" t="str">
        <x:v>None</x:v>
      </x:c>
      <x:c r="W219" s="31" t="str">
        <x:v>Halted after complete LinkedIn description review because both future visa sponsorship and U.S.-Person export-control eligibility are absolute blockers. No data was transmitted and no new resume was created.</x:v>
      </x:c>
    </x:row>
    <x:row r="220">
      <x:c r="A220" s="28" t="str">
        <x:v>Prosperity Life</x:v>
      </x:c>
      <x:c r="B220" s="28" t="str">
        <x:v>Artificial Intelligence Engineer</x:v>
      </x:c>
      <x:c r="C220" s="28" t="str">
        <x:v>https://www.linkedin.com/jobs/view/4450476849/</x:v>
      </x:c>
      <x:c r="D220" s="28" t="str">
        <x:v>https://jobs.dayforcehcm.com/en-US/prosperity/CANDIDATEPORTAL/jobs/1423</x:v>
      </x:c>
      <x:c r="E220" s="29" t="str">
        <x:v>2026-08-12; LinkedIn reposted approximately 2026-09-04</x:v>
      </x:c>
      <x:c r="F220" s="29" t="str">
        <x:v>2026-09-08</x:v>
      </x:c>
      <x:c r="G220" s="29"/>
      <x:c r="H220" s="29"/>
      <x:c r="I220" s="28" t="str">
        <x:v>Needs input</x:v>
      </x:c>
      <x:c r="J220" s="30" t="n">
        <x:v>120000</x:v>
      </x:c>
      <x:c r="K220" s="30" t="n">
        <x:v>135000</x:v>
      </x:c>
      <x:c r="L220" s="28" t="str">
        <x:v>15-2051</x:v>
      </x:c>
      <x:c r="M220" s="28" t="str">
        <x:v>Data Scientists</x:v>
      </x:c>
      <x:c r="N220" s="31" t="str">
        <x:v>The virtual/remote-hybrid listing does not identify the final employing worksite, so the wage spreadsheet cannot support a definitive local comparison. The $120,000-$135,000 range clears Level 1 in many U.S. areas, but it must be rechecked against the employer-selected worksite.</x:v>
      </x:c>
      <x:c r="O220" s="31" t="str">
        <x:v>Remote U.S. (final worksite pending)</x:v>
      </x:c>
      <x:c r="P220" s="31" t="str">
        <x:v>Remote/hybrid; exact employing worksite not disclosed</x:v>
      </x:c>
      <x:c r="Q220" s="31" t="str">
        <x:v>Remote/hybrid</x:v>
      </x:c>
      <x:c r="R220" s="31" t="str">
        <x:v>Not stated in the official description. The Dayforce questionnaire is not visible until candidate information is entered, so sponsorship screening remains pending.</x:v>
      </x:c>
      <x:c r="S220" s="31" t="str">
        <x:v>Strong and realistic, with experience caveat</x:v>
      </x:c>
      <x:c r="T220" s="31" t="str">
        <x:v>Python, SQL, machine learning, generative AI, NLP/LLMs, workflow automation, model evaluation, data pipelines, cloud and cross-functional work align. The 1-5 years requirement is borderline, but cumulative research and internship experience supports approximately one year of relevant exposure.</x:v>
      </x:c>
      <x:c r="U220" s="31" t="str">
        <x:v>Planned reuse: Yuxuan_Chen_Resume_Giga_Software_Engineer_AI_Agents_20260907.pdf</x:v>
      </x:c>
      <x:c r="V220" s="31" t="str">
        <x:v>Action-time confirmation is required before sending legal name, email, phone, address, LinkedIn profile, resume, education and work history to Prosperity Life. The sponsorship questionnaire can then be inspected and answered truthfully.</x:v>
      </x:c>
      <x:c r="W220" s="31" t="str">
        <x:v>High-priority application candidate. Full LinkedIn and official Dayforce descriptions reviewed; manual application form inspected without transmitting data. Existing AI Agents resume is sufficiently matched, so no new version was created. Optional cover letter and additional documents should be omitted.</x:v>
      </x:c>
    </x:row>
    <x:row r="221">
      <x:c r="A221" s="28" t="str">
        <x:v>Graphon AI</x:v>
      </x:c>
      <x:c r="B221" s="28" t="str">
        <x:v>Research Engineer</x:v>
      </x:c>
      <x:c r="C221" s="28" t="str">
        <x:v>https://www.linkedin.com/jobs/view/4463528833/</x:v>
      </x:c>
      <x:c r="D221" s="28" t="str">
        <x:v>LinkedIn posting closed before an external application URL could be collected</x:v>
      </x:c>
      <x:c r="E221" s="29" t="str">
        <x:v>LinkedIn posted 2026-09-08</x:v>
      </x:c>
      <x:c r="F221" s="29" t="str">
        <x:v>2026-09-08</x:v>
      </x:c>
      <x:c r="G221" s="29"/>
      <x:c r="H221" s="29"/>
      <x:c r="I221" s="28" t="str">
        <x:v>Halted</x:v>
      </x:c>
      <x:c r="J221" s="30" t="n">
        <x:v>180000</x:v>
      </x:c>
      <x:c r="K221" s="30" t="n">
        <x:v>250000</x:v>
      </x:c>
      <x:c r="L221" s="28" t="str">
        <x:v>15-2051</x:v>
      </x:c>
      <x:c r="M221" s="28" t="str">
        <x:v>Data Scientists</x:v>
      </x:c>
      <x:c r="N221" s="31" t="str">
        <x:v>The $180,000-$250,000 range is high enough to clear Level 1 in San Francisco, but the posting closed before an application could be started.</x:v>
      </x:c>
      <x:c r="O221" s="31" t="str">
        <x:v>San Francisco, CA</x:v>
      </x:c>
      <x:c r="P221" s="31"/>
      <x:c r="Q221" s="31" t="str">
        <x:v>Hybrid; three days per week in office and no remote option</x:v>
      </x:c>
      <x:c r="R221" s="31" t="str">
        <x:v>Not stated before the posting closed</x:v>
      </x:c>
      <x:c r="S221" s="31" t="str">
        <x:v>Strong technical fit; posting closed</x:v>
      </x:c>
      <x:c r="T221" s="31" t="str">
        <x:v>Machine-learning infrastructure, graph-based context systems, long-context reasoning, LLM memory, model tooling and a related graduate degree align well with the candidate’s AI-systems research.</x:v>
      </x:c>
      <x:c r="U221" s="31" t="str">
        <x:v>Not used; existing Yuxuan_Chen_Resume_Giga_Software_Engineer_AI_Agents_20260907.pdf would have been suitable</x:v>
      </x:c>
      <x:c r="V221" s="31" t="str">
        <x:v>None</x:v>
      </x:c>
      <x:c r="W221" s="31" t="str">
        <x:v>Halted because LinkedIn displayed “No longer accepting applications” minutes after the role appeared. No personal data was transmitted and no new resume was created.</x:v>
      </x:c>
    </x:row>
    <x:row r="222">
      <x:c r="A222" s="28" t="str">
        <x:v>Pennrose</x:v>
      </x:c>
      <x:c r="B222" s="28" t="str">
        <x:v>Associate Developer</x:v>
      </x:c>
      <x:c r="C222" s="28" t="str">
        <x:v>https://www.linkedin.com/jobs/view/4463542772/</x:v>
      </x:c>
      <x:c r="D222" s="28" t="str">
        <x:v>https://careers-pennrose.icims.com/jobs/3411/associate-developer/job</x:v>
      </x:c>
      <x:c r="E222" s="29" t="str">
        <x:v>LinkedIn posted 2026-09-08</x:v>
      </x:c>
      <x:c r="F222" s="29" t="str">
        <x:v>2026-09-08</x:v>
      </x:c>
      <x:c r="G222" s="29"/>
      <x:c r="H222" s="29"/>
      <x:c r="I222" s="28" t="str">
        <x:v>Halted</x:v>
      </x:c>
      <x:c r="J222" s="30" t="n">
        <x:v>80000</x:v>
      </x:c>
      <x:c r="K222" s="30" t="n">
        <x:v>90000</x:v>
      </x:c>
      <x:c r="L222" s="28" t="str">
        <x:v>13-2099</x:v>
      </x:c>
      <x:c r="M222" s="28" t="str">
        <x:v>Financial Specialists, All Other</x:v>
      </x:c>
      <x:c r="N222" s="31" t="str">
        <x:v>This is a real-estate development and project-finance role rather than a software-development role. A software-engineering wage comparison would be misleading and is not applicable to the target search.</x:v>
      </x:c>
      <x:c r="O222" s="31" t="str">
        <x:v>Philadelphia, PA</x:v>
      </x:c>
      <x:c r="P222" s="31"/>
      <x:c r="Q222" s="31" t="str">
        <x:v>On-site; supports Caribbean real-estate development projects</x:v>
      </x:c>
      <x:c r="R222" s="31" t="str">
        <x:v>Not reviewed because the occupation is outside the target search</x:v>
      </x:c>
      <x:c r="S222" s="31" t="str">
        <x:v>Not relevant</x:v>
      </x:c>
      <x:c r="T222" s="31" t="str">
        <x:v>The title refers to real-estate development. Duties center on financial modeling, affordable-housing funding, real-estate approvals, construction budgets and project documentation, not software engineering.</x:v>
      </x:c>
      <x:c r="U222" s="31" t="str">
        <x:v>Not used</x:v>
      </x:c>
      <x:c r="V222" s="31" t="str">
        <x:v>None</x:v>
      </x:c>
      <x:c r="W222" s="31" t="str">
        <x:v>Halted after full description review because the position is not a technology role. No application or resume tailoring was started.</x:v>
      </x:c>
    </x:row>
    <x:row r="223">
      <x:c r="A223" s="28" t="str">
        <x:v>Halborn</x:v>
      </x:c>
      <x:c r="B223" s="28" t="str">
        <x:v>Full Stack Software Developer (Remote)</x:v>
      </x:c>
      <x:c r="C223" s="28" t="str">
        <x:v>https://www.linkedin.com/jobs/view/4464662602/</x:v>
      </x:c>
      <x:c r="D223" s="28" t="str">
        <x:v>https://ats.rippling.com/halborn/jobs/ce20f825-cbb4-4645-a8fc-a44907694fff?jobSite=LinkedIn</x:v>
      </x:c>
      <x:c r="E223" s="29" t="str">
        <x:v>LinkedIn posted 2026-09-08</x:v>
      </x:c>
      <x:c r="F223" s="29" t="str">
        <x:v>2026-09-08</x:v>
      </x:c>
      <x:c r="G223" s="29"/>
      <x:c r="H223" s="29"/>
      <x:c r="I223" s="28" t="str">
        <x:v>Halted</x:v>
      </x:c>
      <x:c r="J223" s="30"/>
      <x:c r="K223" s="30"/>
      <x:c r="L223" s="28" t="str">
        <x:v>15-1252</x:v>
      </x:c>
      <x:c r="M223" s="28" t="str">
        <x:v>Software Developers</x:v>
      </x:c>
      <x:c r="N223" s="31" t="str">
        <x:v>Salary is not disclosed. Wage compatibility is secondary because the employer explicitly refuses employment-visa sponsorship or transfer.</x:v>
      </x:c>
      <x:c r="O223" s="31" t="str">
        <x:v>Miami, FL / remote</x:v>
      </x:c>
      <x:c r="P223" s="31"/>
      <x:c r="Q223" s="31" t="str">
        <x:v>Advertised as remote; LinkedIn location metadata says Miami on-site</x:v>
      </x:c>
      <x:c r="R223" s="31" t="str">
        <x:v>Incompatible: Halborn explicitly states it is unable to sponsor or take over sponsorship of employment visas.</x:v>
      </x:c>
      <x:c r="S223" s="31" t="str">
        <x:v>Unassessable template posting; visa-incompatible</x:v>
      </x:c>
      <x:c r="T223" s="31" t="str">
        <x:v>The description contains placeholder responsibility and qualification text rather than real requirements. The explicit no-sponsorship statement independently disqualifies the role.</x:v>
      </x:c>
      <x:c r="U223" s="31" t="str">
        <x:v>Not used</x:v>
      </x:c>
      <x:c r="V223" s="31" t="str">
        <x:v>None</x:v>
      </x:c>
      <x:c r="W223" s="31" t="str">
        <x:v>Halted after full description review because sponsorship is explicitly unavailable. No application or tailored resume was started.</x:v>
      </x:c>
    </x:row>
    <x:row r="224">
      <x:c r="A224" s="28" t="str">
        <x:v>Beckman Coulter Diagnostics</x:v>
      </x:c>
      <x:c r="B224" s="28" t="str">
        <x:v>Software Engineering Intern</x:v>
      </x:c>
      <x:c r="C224" s="28" t="str">
        <x:v>https://www.linkedin.com/jobs/view/4462540652/</x:v>
      </x:c>
      <x:c r="D224" s="28" t="str">
        <x:v>https://danaher.wd1.myworkdayjobs.com/DanaherJobs/job/Chaska-Minnesota-United-States/Software-Engineering-Intern_R1316911/apply?source=APPLICANT_SOURCE_LINKEDIN_POSTING</x:v>
      </x:c>
      <x:c r="E224" s="29" t="str">
        <x:v>LinkedIn posted 2026-09-08</x:v>
      </x:c>
      <x:c r="F224" s="29" t="str">
        <x:v>2026-09-08</x:v>
      </x:c>
      <x:c r="G224" s="29"/>
      <x:c r="H224" s="29"/>
      <x:c r="I224" s="28" t="str">
        <x:v>Halted</x:v>
      </x:c>
      <x:c r="J224" s="30"/>
      <x:c r="K224" s="30"/>
      <x:c r="L224" s="28" t="str">
        <x:v>15-1252</x:v>
      </x:c>
      <x:c r="M224" s="28" t="str">
        <x:v>Software Developers</x:v>
      </x:c>
      <x:c r="N224" s="31" t="str">
        <x:v>The temporary internship does not disclose pay. Prevailing-wage analysis is not decisive because the posting requires a bachelor’s student in the third year or later, while the candidate will have completed a master’s degree before the likely internship term.</x:v>
      </x:c>
      <x:c r="O224" s="31" t="str">
        <x:v>Chaska, MN</x:v>
      </x:c>
      <x:c r="P224" s="31"/>
      <x:c r="Q224" s="31" t="str">
        <x:v>On-site internship</x:v>
      </x:c>
      <x:c r="R224" s="31" t="str">
        <x:v>Not stated in the complete LinkedIn description</x:v>
      </x:c>
      <x:c r="S224" s="31" t="str">
        <x:v>Technical overlap but degree-status mismatch</x:v>
      </x:c>
      <x:c r="T224" s="31" t="str">
        <x:v>Java, HTML/JavaScript, testing and prototyping overlap, but the essential requirement targets a current bachelor’s student and does not match the candidate’s December 2026 master’s graduation and February 2027 full-time availability.</x:v>
      </x:c>
      <x:c r="U224" s="31" t="str">
        <x:v>Not used</x:v>
      </x:c>
      <x:c r="V224" s="31" t="str">
        <x:v>None</x:v>
      </x:c>
      <x:c r="W224" s="31" t="str">
        <x:v>Halted after full description review because the required student status does not realistically fit. No application or new resume was started.</x:v>
      </x:c>
    </x:row>
    <x:row r="225">
      <x:c r="A225" s="28" t="str">
        <x:v>Graphon AI</x:v>
      </x:c>
      <x:c r="B225" s="28" t="str">
        <x:v>Research Engineer (active repost)</x:v>
      </x:c>
      <x:c r="C225" s="28" t="str">
        <x:v>https://www.linkedin.com/jobs/view/4463547726/</x:v>
      </x:c>
      <x:c r="D225" s="28" t="str">
        <x:v>https://www.linkedin.com/jobs/view/4463547726/apply/?openSDUIApplyFlow=true</x:v>
      </x:c>
      <x:c r="E225" s="29" t="str">
        <x:v>LinkedIn posted 2026-09-08</x:v>
      </x:c>
      <x:c r="F225" s="29" t="str">
        <x:v>2026-09-08</x:v>
      </x:c>
      <x:c r="G225" s="29"/>
      <x:c r="H225" s="29"/>
      <x:c r="I225" s="28" t="str">
        <x:v>Halted</x:v>
      </x:c>
      <x:c r="J225" s="30" t="n">
        <x:v>180000</x:v>
      </x:c>
      <x:c r="K225" s="30" t="n">
        <x:v>250000</x:v>
      </x:c>
      <x:c r="L225" s="28" t="str">
        <x:v>15-2051</x:v>
      </x:c>
      <x:c r="M225" s="28" t="str">
        <x:v>Data Scientists</x:v>
      </x:c>
      <x:c r="N225" s="31" t="str">
        <x:v>The $180,000-$250,000 base-salary range clears the San Francisco-Oakland-Fremont Level 1 threshold and reaches advanced wage levels. Compensation is compatible with the candidate’s wage requirement.</x:v>
      </x:c>
      <x:c r="O225" s="31" t="str">
        <x:v>San Francisco, CA</x:v>
      </x:c>
      <x:c r="P225" s="31"/>
      <x:c r="Q225" s="31" t="str">
        <x:v>Hybrid; three days per week in office and no remote option</x:v>
      </x:c>
      <x:c r="R225" s="31" t="str">
        <x:v>Not stated in the full posting; must be verified in the LinkedIn application questionnaire</x:v>
      </x:c>
      <x:c r="S225" s="31" t="str">
        <x:v>Exceptional early-career AI-systems fit</x:v>
      </x:c>
      <x:c r="T225" s="31" t="str">
        <x:v>The role accepts candidates about to complete an undergraduate, master’s or doctoral degree and asks for familiarity with modern ML stacks, version control and networking. The candidate’s LLM evaluation platform, RAG, agent workflows and AI infrastructure work align directly.</x:v>
      </x:c>
      <x:c r="U225" s="31" t="str">
        <x:v>Yuxuan_Chen_Resume_Graphon_AI_Research_Engineer_20260910.pdf prepared but not submitted</x:v>
      </x:c>
      <x:c r="V225" s="31" t="str">
        <x:v>None</x:v>
      </x:c>
      <x:c r="W225" s="31" t="str">
        <x:v>A one-page Graphon-specific DOCX and PDF were created from the existing AI Agents resume, with the employer's required sourdough keyword added transparently as an application keyword. Visual render QA passed. When the application was reopened on 2026-09-10, LinkedIn displayed No longer accepting applications, so submission was impossible. Retain the tailored resume for a repost or closely related AI research-engineering role.</x:v>
      </x:c>
    </x:row>
    <x:row r="226">
      <x:c r="A226" s="28" t="str">
        <x:v>Noble Machines</x:v>
      </x:c>
      <x:c r="B226" s="28" t="str">
        <x:v>Junior Robotics Software Engineer</x:v>
      </x:c>
      <x:c r="C226" s="28" t="str">
        <x:v>https://www.linkedin.com/jobs/view/4464680131/</x:v>
      </x:c>
      <x:c r="D226" s="28" t="str">
        <x:v>https://job-boards.greenhouse.io/undercontrolroboticsinc/jobs/4396196009</x:v>
      </x:c>
      <x:c r="E226" s="29" t="str">
        <x:v>LinkedIn posted 2026-09-08</x:v>
      </x:c>
      <x:c r="F226" s="29" t="str">
        <x:v>2026-09-08</x:v>
      </x:c>
      <x:c r="G226" s="29"/>
      <x:c r="H226" s="29"/>
      <x:c r="I226" s="28" t="str">
        <x:v>Halted</x:v>
      </x:c>
      <x:c r="J226" s="30" t="n">
        <x:v>90000</x:v>
      </x:c>
      <x:c r="K226" s="30" t="n">
        <x:v>130000</x:v>
      </x:c>
      <x:c r="L226" s="28" t="str">
        <x:v>15-1252</x:v>
      </x:c>
      <x:c r="M226" s="28" t="str">
        <x:v>Software Developers</x:v>
      </x:c>
      <x:c r="N226" s="31" t="str">
        <x:v>San Francisco-Oakland-Fremont Software Developers Level 1 is $137,093. The entire $90,000-$130,000 range is below Level 1; even the maximum is $7,093 short.</x:v>
      </x:c>
      <x:c r="O226" s="31" t="str">
        <x:v>Sunnyvale, CA</x:v>
      </x:c>
      <x:c r="P226" s="31"/>
      <x:c r="Q226" s="31" t="str">
        <x:v>On-site</x:v>
      </x:c>
      <x:c r="R226" s="31" t="str">
        <x:v>Not stated in the full LinkedIn description</x:v>
      </x:c>
      <x:c r="S226" s="31" t="str">
        <x:v>Partial technical fit; wage-incompatible</x:v>
      </x:c>
      <x:c r="T226" s="31" t="str">
        <x:v>The role accepts 0-2 years and values Python, GUIs, testing, telemetry and Docker, but practical C++, ROS/ROS 2 and hardware integration are core requirements not established by the resume.</x:v>
      </x:c>
      <x:c r="U226" s="31" t="str">
        <x:v>Not used</x:v>
      </x:c>
      <x:c r="V226" s="31" t="str">
        <x:v>None</x:v>
      </x:c>
      <x:c r="W226" s="31" t="str">
        <x:v>Halted after reviewing the full description because the published maximum is below local Level 1 and the role has material robotics/C++ gaps. No application or new resume was started.</x:v>
      </x:c>
    </x:row>
    <x:row r="227">
      <x:c r="A227" s="28" t="str">
        <x:v>Optiver</x:v>
      </x:c>
      <x:c r="B227" s="28" t="str">
        <x:v>Machine Learning Research Engineer</x:v>
      </x:c>
      <x:c r="C227" s="28" t="str">
        <x:v>https://www.linkedin.com/jobs/view/4462543580/</x:v>
      </x:c>
      <x:c r="D227" s="28" t="str">
        <x:v>https://www.optiver.com/join-us/jobs/technology/new-york/machine-learning-research-engineer/</x:v>
      </x:c>
      <x:c r="E227" s="29" t="str">
        <x:v>LinkedIn posted 2026-09-08</x:v>
      </x:c>
      <x:c r="F227" s="29" t="str">
        <x:v>2026-09-08</x:v>
      </x:c>
      <x:c r="G227" s="29"/>
      <x:c r="H227" s="29"/>
      <x:c r="I227" s="28" t="str">
        <x:v>Halted</x:v>
      </x:c>
      <x:c r="J227" s="30" t="n">
        <x:v>200000</x:v>
      </x:c>
      <x:c r="K227" s="30" t="n">
        <x:v>200000</x:v>
      </x:c>
      <x:c r="L227" s="28" t="str">
        <x:v>15-2051</x:v>
      </x:c>
      <x:c r="M227" s="28" t="str">
        <x:v>Data Scientists</x:v>
      </x:c>
      <x:c r="N227" s="31" t="str">
        <x:v>The $200,000 base salary clears New York-Newark-Jersey City Level 1 and advanced wage levels. Compensation is compatible, but the research-experience requirements are decisive.</x:v>
      </x:c>
      <x:c r="O227" s="31" t="str">
        <x:v>New York, NY</x:v>
      </x:c>
      <x:c r="P227" s="31"/>
      <x:c r="Q227" s="31" t="str">
        <x:v>On-site</x:v>
      </x:c>
      <x:c r="R227" s="31" t="str">
        <x:v>Not stated in the complete LinkedIn description</x:v>
      </x:c>
      <x:c r="S227" s="31" t="str">
        <x:v>Low; advanced research requirements</x:v>
      </x:c>
      <x:c r="T227" s="31" t="str">
        <x:v>Python and large-data experimentation overlap, but the role requires a PhD or equivalent industrial research experience plus deep expertise building models in PyTorch, JAX or TensorFlow. Large-scale distributed training, GPU programming and a strong publication record are also emphasized.</x:v>
      </x:c>
      <x:c r="U227" s="31" t="str">
        <x:v>Not used</x:v>
      </x:c>
      <x:c r="V227" s="31" t="str">
        <x:v>None</x:v>
      </x:c>
      <x:c r="W227" s="31" t="str">
        <x:v>Halted after the full description review because the mandatory research depth is not a realistic match. No application or tailored resume was started.</x:v>
      </x:c>
    </x:row>
    <x:row r="228">
      <x:c r="A228" s="28" t="str">
        <x:v>General Atomics Aeronautical Systems</x:v>
      </x:c>
      <x:c r="B228" s="28" t="str">
        <x:v>Simulation Software Developer</x:v>
      </x:c>
      <x:c r="C228" s="28" t="str">
        <x:v>https://www.linkedin.com/jobs/view/4464672325/</x:v>
      </x:c>
      <x:c r="D228" s="28" t="str">
        <x:v>https://sjobs.brassring.com/TGnewUI/Search/home/HomeWithPreLoad?PageType=JobDetails&amp;partnerid=25539&amp;siteid=5313&amp;jobId=5234944</x:v>
      </x:c>
      <x:c r="E228" s="29" t="str">
        <x:v>LinkedIn posted 2026-09-08</x:v>
      </x:c>
      <x:c r="F228" s="29" t="str">
        <x:v>2026-09-08</x:v>
      </x:c>
      <x:c r="G228" s="29"/>
      <x:c r="H228" s="29"/>
      <x:c r="I228" s="28" t="str">
        <x:v>Halted</x:v>
      </x:c>
      <x:c r="J228" s="30" t="n">
        <x:v>87070</x:v>
      </x:c>
      <x:c r="K228" s="30" t="n">
        <x:v>132963</x:v>
      </x:c>
      <x:c r="L228" s="28" t="str">
        <x:v>15-1252</x:v>
      </x:c>
      <x:c r="M228" s="28" t="str">
        <x:v>Software Developers</x:v>
      </x:c>
      <x:c r="N228" s="31" t="str">
        <x:v>The Poway/San Diego salary range requires a local wage comparison, but the mandatory DoD security-clearance requirement independently disqualifies the candidate.</x:v>
      </x:c>
      <x:c r="O228" s="31" t="str">
        <x:v>Poway, CA</x:v>
      </x:c>
      <x:c r="P228" s="31"/>
      <x:c r="Q228" s="31" t="str">
        <x:v>On-site</x:v>
      </x:c>
      <x:c r="R228" s="31" t="str">
        <x:v>Incompatible: ability to obtain and maintain a DoD security clearance is mandatory</x:v>
      </x:c>
      <x:c r="S228" s="31" t="str">
        <x:v>Partial technical fit; clearance-incompatible</x:v>
      </x:c>
      <x:c r="T228" s="31" t="str">
        <x:v>Python, Java, Linux, debugging, testing and software fundamentals overlap. The role requires two or more years of progressive experience, strong C/C++ and hardware/software integration, with work tied to military aircraft systems.</x:v>
      </x:c>
      <x:c r="U228" s="31" t="str">
        <x:v>Not used</x:v>
      </x:c>
      <x:c r="V228" s="31" t="str">
        <x:v>None</x:v>
      </x:c>
      <x:c r="W228" s="31" t="str">
        <x:v>Halted after full LinkedIn description review because DoD clearance eligibility is required. No application or new resume was started.</x:v>
      </x:c>
    </x:row>
    <x:row r="229">
      <x:c r="A229" s="28" t="str">
        <x:v>Nuro</x:v>
      </x:c>
      <x:c r="B229" s="28" t="str">
        <x:v>Software Engineer, AI Platform - New Grad</x:v>
      </x:c>
      <x:c r="C229" s="28" t="str">
        <x:v>https://www.linkedin.com/jobs/view/4317707969/</x:v>
      </x:c>
      <x:c r="D229" s="28" t="str">
        <x:v>https://nuro.ai/careersitem?gh_jid=7351066</x:v>
      </x:c>
      <x:c r="E229" s="29" t="str">
        <x:v>LinkedIn reposted approximately 2026-08-25</x:v>
      </x:c>
      <x:c r="F229" s="29" t="str">
        <x:v>2026-09-08</x:v>
      </x:c>
      <x:c r="G229" s="29"/>
      <x:c r="H229" s="29"/>
      <x:c r="I229" s="28" t="str">
        <x:v>Halted</x:v>
      </x:c>
      <x:c r="J229" s="30" t="n">
        <x:v>145000</x:v>
      </x:c>
      <x:c r="K229" s="30" t="n">
        <x:v>170000</x:v>
      </x:c>
      <x:c r="L229" s="28" t="str">
        <x:v>15-1252</x:v>
      </x:c>
      <x:c r="M229" s="28" t="str">
        <x:v>Software Developers</x:v>
      </x:c>
      <x:c r="N229" s="31" t="str">
        <x:v>San Francisco-Oakland-Fremont Software Developers Level 1 is $137,093. The full $145,000-$170,000 range clears Level 1 and reaches Level 2, but the mandatory graduation cutoff is incompatible.</x:v>
      </x:c>
      <x:c r="O229" s="31" t="str">
        <x:v>Mountain View, CA</x:v>
      </x:c>
      <x:c r="P229" s="31"/>
      <x:c r="Q229" s="31" t="str">
        <x:v>On-site</x:v>
      </x:c>
      <x:c r="R229" s="31" t="str">
        <x:v>Not stated in the complete LinkedIn description</x:v>
      </x:c>
      <x:c r="S229" s="31" t="str">
        <x:v>Exceptional technical fit; graduation-window ineligible</x:v>
      </x:c>
      <x:c r="T229" s="31" t="str">
        <x:v>Data platforms, distributed systems, storage and processing, ML infrastructure, simulation, cloud compute, CI/CD, Python and performance optimization align strongly. The qualifications explicitly require graduation before July 2026, while the candidate graduates in December 2026.</x:v>
      </x:c>
      <x:c r="U229" s="31" t="str">
        <x:v>Not used; existing Yuxuan_Chen_Resume_Giga_Software_Engineer_AI_Agents_20260907.pdf would otherwise be suitable</x:v>
      </x:c>
      <x:c r="V229" s="31" t="str">
        <x:v>None</x:v>
      </x:c>
      <x:c r="W229" s="31" t="str">
        <x:v>Halted after full description review because the hard qualification says the candidate must graduate before July 2026. A separate introductory sentence says graduating by December 2026, but the stricter About You requirement controls. No application or new resume was started.</x:v>
      </x:c>
    </x:row>
    <x:row r="230">
      <x:c r="A230" s="28" t="str">
        <x:v>Confido</x:v>
      </x:c>
      <x:c r="B230" s="28" t="str">
        <x:v>New Grad Software Engineer</x:v>
      </x:c>
      <x:c r="C230" s="28" t="str">
        <x:v>https://www.linkedin.com/jobs/view/4438292999/</x:v>
      </x:c>
      <x:c r="D230" s="28" t="str">
        <x:v>https://jobs.ashbyhq.com/confido/69c0e572-b2f4-442f-beb8-1240155c629e/application</x:v>
      </x:c>
      <x:c r="E230" s="29" t="str">
        <x:v>LinkedIn reposted approximately 2026-08-25</x:v>
      </x:c>
      <x:c r="F230" s="29" t="str">
        <x:v>2026-09-08</x:v>
      </x:c>
      <x:c r="G230" s="29" t="str">
        <x:v>2026-09-08</x:v>
      </x:c>
      <x:c r="H230" s="29" t="str">
        <x:v>2026-09-13</x:v>
      </x:c>
      <x:c r="I230" s="28" t="str">
        <x:v>Submitted</x:v>
      </x:c>
      <x:c r="J230" s="30" t="n">
        <x:v>170000</x:v>
      </x:c>
      <x:c r="K230" s="30" t="n">
        <x:v>170000</x:v>
      </x:c>
      <x:c r="L230" s="28" t="str">
        <x:v>15-1252</x:v>
      </x:c>
      <x:c r="M230" s="28" t="str">
        <x:v>Software Developers</x:v>
      </x:c>
      <x:c r="N230" s="31" t="str">
        <x:v>New York-Newark-Jersey City Software Developers Level 1 is $109,845, Level 2 $137,717 and Level 3 $165,589. The $170,000 base salary clears Level 3.</x:v>
      </x:c>
      <x:c r="O230" s="31" t="str">
        <x:v>New York, NY</x:v>
      </x:c>
      <x:c r="P230" s="31"/>
      <x:c r="Q230" s="31" t="str">
        <x:v>On-site, five days per week; relocation supported</x:v>
      </x:c>
      <x:c r="R230" s="31" t="str">
        <x:v>The official Ashby form explicitly asks whether sponsorship is required now or in the future, including CPT or OPT, and permits Yes. Its separate legal-authorization question defines Yes as citizenship or an existing employment visa such as O-1/H-1B/TN/H-1B1/E-3; the candidate should not be represented as holding one of those visas.</x:v>
      </x:c>
      <x:c r="S230" s="31" t="str">
        <x:v>Exceptional and realistic new-grad fit</x:v>
      </x:c>
      <x:c r="T230" s="31" t="str">
        <x:v>The role accepts internship, academic-project or equivalent experience and seeks backend, full-stack or AI-driven systems. AI workflows, NLP, APIs, financial-data pipelines, document extraction, forecasting tools, ownership and rapid learning align closely.</x:v>
      </x:c>
      <x:c r="U230" s="31" t="str">
        <x:v>Yuxuan_Chen_Resume_Zip_Software_Engineer_New_Grad_20260907.pdf</x:v>
      </x:c>
      <x:c r="V230" s="31" t="str">
        <x:v>None</x:v>
      </x:c>
      <x:c r="W230" s="31" t="str">
        <x:v>Submitted successfully through the official Ashby form on 2026-09-13. Selected willingness to relocate and work five days in NYC, future sponsorship Yes, and current legal authorization No under Confido's unusually narrow definition limited to citizenship or an existing O-1/H-1B/TN/H-1B1/E-3 employment visa. Tailored role-preference response emphasized backend/full-stack ownership, AI/data systems, mentorship and product impact.</x:v>
      </x:c>
    </x:row>
    <x:row r="231">
      <x:c r="A231" s="28" t="str">
        <x:v>Reindeer</x:v>
      </x:c>
      <x:c r="B231" s="28" t="str">
        <x:v>AI Solutions Engineer (New York)</x:v>
      </x:c>
      <x:c r="C231" s="28" t="str">
        <x:v>https://www.linkedin.com/jobs/view/4464679637/</x:v>
      </x:c>
      <x:c r="D231" s="28" t="str">
        <x:v>https://jobs.ashbyhq.com/reindeer-ai/bb04157d-ee7f-46af-8d42-377f8189e988/application</x:v>
      </x:c>
      <x:c r="E231" s="29" t="str">
        <x:v>LinkedIn posted 2026-09-08</x:v>
      </x:c>
      <x:c r="F231" s="29" t="str">
        <x:v>2026-09-08</x:v>
      </x:c>
      <x:c r="G231" s="29"/>
      <x:c r="H231" s="29"/>
      <x:c r="I231" s="28" t="str">
        <x:v>Halted</x:v>
      </x:c>
      <x:c r="J231" s="30" t="n">
        <x:v>180000</x:v>
      </x:c>
      <x:c r="K231" s="30" t="n">
        <x:v>230000</x:v>
      </x:c>
      <x:c r="L231" s="28" t="str">
        <x:v>15-1299</x:v>
      </x:c>
      <x:c r="M231" s="28" t="str">
        <x:v>Computer Occupations, All Other</x:v>
      </x:c>
      <x:c r="N231" s="31" t="str">
        <x:v>The listing discloses $180,000-$230,000 OTE rather than base salary, so it is not a reliable prevailing-wage comparison. The mandatory seven or more years of post-sale solutions or implementation experience independently makes the role unrealistic.</x:v>
      </x:c>
      <x:c r="O231" s="31" t="str">
        <x:v>New York, NY</x:v>
      </x:c>
      <x:c r="P231" s="31"/>
      <x:c r="Q231" s="31" t="str">
        <x:v>On-site</x:v>
      </x:c>
      <x:c r="R231" s="31" t="str">
        <x:v>Not stated in the complete LinkedIn description</x:v>
      </x:c>
      <x:c r="S231" s="31" t="str">
        <x:v>Low; senior experience requirement</x:v>
      </x:c>
      <x:c r="T231" s="31" t="str">
        <x:v>Agentic AI, workflow development, cloud integration and enterprise deployment overlap technically, but the job requires 7+ years in implementation engineering, solutions engineering, technical consulting or professional services and ownership of the full post-sale customer lifecycle.</x:v>
      </x:c>
      <x:c r="U231" s="31" t="str">
        <x:v>Not used</x:v>
      </x:c>
      <x:c r="V231" s="31" t="str">
        <x:v>None</x:v>
      </x:c>
      <x:c r="W231" s="31" t="str">
        <x:v>Halted after full LinkedIn description review. Compensation is OTE, not confirmed base salary. No application or tailored resume was started because the seven-year customer-delivery requirement is not realistic for a December 2026 new graduate.</x:v>
      </x:c>
    </x:row>
    <x:row r="232">
      <x:c r="A232" s="28" t="str">
        <x:v>Bentley Systems</x:v>
      </x:c>
      <x:c r="B232" s="28" t="str">
        <x:v>Software Engineer, Documentation Platform</x:v>
      </x:c>
      <x:c r="C232" s="28" t="str">
        <x:v>https://www.linkedin.com/jobs/view/4463534984/</x:v>
      </x:c>
      <x:c r="D232" s="28" t="str">
        <x:v>https://jobs.bentley.com/job/Exton-Software-Engineer%2C-Documentation-Platform-PA-19341/1427473200/</x:v>
      </x:c>
      <x:c r="E232" s="29" t="str">
        <x:v>2026-09-08</x:v>
      </x:c>
      <x:c r="F232" s="29" t="str">
        <x:v>2026-09-08</x:v>
      </x:c>
      <x:c r="G232" s="29"/>
      <x:c r="H232" s="29"/>
      <x:c r="I232" s="28" t="str">
        <x:v>Needs input</x:v>
      </x:c>
      <x:c r="J232" s="30"/>
      <x:c r="K232" s="30"/>
      <x:c r="L232" s="28" t="str">
        <x:v>15-1252</x:v>
      </x:c>
      <x:c r="M232" s="28" t="str">
        <x:v>Software Developers</x:v>
      </x:c>
      <x:c r="N232" s="31" t="str">
        <x:v>The Exton, Pennsylvania listing does not disclose salary, so compatibility with the Philadelphia-Camden-Wilmington Software Developers Level 1 wage cannot be verified before an offer. Technical fit is strong enough to continue despite the missing salary.</x:v>
      </x:c>
      <x:c r="O232" s="31" t="str">
        <x:v>Exton, PA</x:v>
      </x:c>
      <x:c r="P232" s="31"/>
      <x:c r="Q232" s="31" t="str">
        <x:v>Hybrid; three days per week in office</x:v>
      </x:c>
      <x:c r="R232" s="31" t="str">
        <x:v>Not stated in the complete official description; Bentley states that it participates in E-Verify</x:v>
      </x:c>
      <x:c r="S232" s="31" t="str">
        <x:v>Strong and realistic</x:v>
      </x:c>
      <x:c r="T232" s="31" t="str">
        <x:v>TypeScript, Python, REST APIs, frontend integrations, cloud services, CI/CD, release automation, observability, search and AI-assisted user experiences align closely. The listing asks for 2+ years of hands-on development; the combined research and internship record can support that requirement, though Azure DevOps and PowerShell are gaps.</x:v>
      </x:c>
      <x:c r="U232" s="31" t="str">
        <x:v>Planned reuse: Yuxuan_Chen_Resume_Salesforce_Software_Engineering_AMTS_20260907.pdf</x:v>
      </x:c>
      <x:c r="V232" s="31" t="str">
        <x:v>The official site requires an email-based Bentley talent profile sign-up or an existing profile login before the application form is visible. Action-time confirmation is also required before sending the applicant email and subsequent application data to Bentley Systems.</x:v>
      </x:c>
      <x:c r="W232" s="31" t="str">
        <x:v>High-priority application discovered within minutes of posting. Full LinkedIn and official descriptions reviewed. The existing Salesforce full-stack/cloud resume is sufficiently matched, so no new resume is needed. No transcript request is visible before profile access. Application is paused before the email sign-up field; no personal data was transmitted.</x:v>
      </x:c>
    </x:row>
    <x:row r="233">
      <x:c r="A233" s="28" t="str">
        <x:v>Talent (undisclosed AI infrastructure client)</x:v>
      </x:c>
      <x:c r="B233" s="28" t="str">
        <x:v>Forward Deployed Engineer</x:v>
      </x:c>
      <x:c r="C233" s="28" t="str">
        <x:v>https://www.linkedin.com/jobs/view/4463545947/</x:v>
      </x:c>
      <x:c r="D233" s="28" t="str">
        <x:v>https://www.linkedin.com/jobs/view/4463545947/apply/</x:v>
      </x:c>
      <x:c r="E233" s="29" t="str">
        <x:v>LinkedIn posted 2026-09-08</x:v>
      </x:c>
      <x:c r="F233" s="29" t="str">
        <x:v>2026-09-08</x:v>
      </x:c>
      <x:c r="G233" s="29"/>
      <x:c r="H233" s="29"/>
      <x:c r="I233" s="28" t="str">
        <x:v>Halted</x:v>
      </x:c>
      <x:c r="J233" s="30"/>
      <x:c r="K233" s="30"/>
      <x:c r="L233" s="28" t="str">
        <x:v>15-1299</x:v>
      </x:c>
      <x:c r="M233" s="28" t="str">
        <x:v>Computer Occupations, All Other</x:v>
      </x:c>
      <x:c r="N233" s="31" t="str">
        <x:v>No salary is disclosed and the end client is unnamed, so a defensible worksite-specific prevailing-wage comparison is unavailable. The mandatory four or more years of relevant experience independently makes the role unrealistic.</x:v>
      </x:c>
      <x:c r="O233" s="31" t="str">
        <x:v>New York, NY</x:v>
      </x:c>
      <x:c r="P233" s="31"/>
      <x:c r="Q233" s="31" t="str">
        <x:v>Hybrid</x:v>
      </x:c>
      <x:c r="R233" s="31" t="str">
        <x:v>Not stated in the complete LinkedIn description</x:v>
      </x:c>
      <x:c r="S233" s="31" t="str">
        <x:v>Low; experienced hire requirement</x:v>
      </x:c>
      <x:c r="T233" s="31" t="str">
        <x:v>AI agents, MCP, integrations and software engineering overlap, but the employer requires 4+ years in software engineering, solutions engineering or technical consulting plus enterprise infrastructure or security depth and customer-facing technical sales ownership.</x:v>
      </x:c>
      <x:c r="U233" s="31" t="str">
        <x:v>Not used</x:v>
      </x:c>
      <x:c r="V233" s="31" t="str">
        <x:v>None</x:v>
      </x:c>
      <x:c r="W233" s="31" t="str">
        <x:v>Halted after complete LinkedIn description review. The recruiter does not identify the end client or disclose salary. No application or tailored resume was started because the four-year experience floor and senior customer-facing expectations are not realistic for a December 2026 new graduate.</x:v>
      </x:c>
    </x:row>
    <x:row r="234">
      <x:c r="A234" s="28" t="str">
        <x:v>Ivo</x:v>
      </x:c>
      <x:c r="B234" s="28" t="str">
        <x:v>Software Engineer, Backend</x:v>
      </x:c>
      <x:c r="C234" s="28" t="str">
        <x:v>https://www.linkedin.com/jobs/view/4401128372/</x:v>
      </x:c>
      <x:c r="D234" s="28" t="str">
        <x:v>https://jobs.ashbyhq.com/ivo-inc/0d634e18-8312-447a-a421-2bf4e2231f36/application</x:v>
      </x:c>
      <x:c r="E234" s="29" t="str">
        <x:v>LinkedIn reposted 2026-09-08</x:v>
      </x:c>
      <x:c r="F234" s="29" t="str">
        <x:v>2026-09-08</x:v>
      </x:c>
      <x:c r="G234" s="29"/>
      <x:c r="H234" s="29"/>
      <x:c r="I234" s="28" t="str">
        <x:v>Submitted</x:v>
      </x:c>
      <x:c r="J234" s="30" t="n">
        <x:v>158000</x:v>
      </x:c>
      <x:c r="K234" s="30" t="n">
        <x:v>235000</x:v>
      </x:c>
      <x:c r="L234" s="28" t="str">
        <x:v>15-1252</x:v>
      </x:c>
      <x:c r="M234" s="28" t="str">
        <x:v>Software Developers</x:v>
      </x:c>
      <x:c r="N234" s="31" t="str">
        <x:v>San Francisco-Oakland-Fremont Software Developers Level 1 is $137,093. The full $158,000-$235,000 base range clears Level 1 and reaches advanced wage levels.</x:v>
      </x:c>
      <x:c r="O234" s="31" t="str">
        <x:v>San Francisco, CA</x:v>
      </x:c>
      <x:c r="P234" s="31"/>
      <x:c r="Q234" s="31" t="str">
        <x:v>On-site, five days per week</x:v>
      </x:c>
      <x:c r="R234" s="31" t="str">
        <x:v>Explicitly supportive: the official description offers visa and green-card support where applicable, and the application accepts future sponsorship Yes</x:v>
      </x:c>
      <x:c r="S234" s="31" t="str">
        <x:v>Exceptional and realistic</x:v>
      </x:c>
      <x:c r="T234" s="31" t="str">
        <x:v>Python backend development, LLM orchestration, RAG, search and retrieval, data extraction, clustering, high-volume document processing, product ownership and startup execution closely match the resume. No minimum years of experience or degree restriction is stated.</x:v>
      </x:c>
      <x:c r="U234" s="31" t="str">
        <x:v>Yuxuan_Chen_Resume_Giga_Software_Engineer_AI_Agents_20260907.pdf</x:v>
      </x:c>
      <x:c r="V234" s="31" t="str">
        <x:v>None</x:v>
      </x:c>
      <x:c r="W234" s="31" t="str">
        <x:v>Submitted successfully through the official Ashby application on 2026-09-08; authoritative Success confirmation received. Answered current authorization Yes, future sponsorship Yes, current OPT No because the application is pending, five-day office Yes, not near an Ivo office, willing to relocate to San Francisco Yes, email updates, and LinkedIn source.</x:v>
      </x:c>
    </x:row>
    <x:row r="235">
      <x:c r="A235" s="28" t="str">
        <x:v>Ivo</x:v>
      </x:c>
      <x:c r="B235" s="28" t="str">
        <x:v>Software Engineer, Fullstack</x:v>
      </x:c>
      <x:c r="C235" s="28" t="str">
        <x:v>Official role found through the related Ivo Backend posting</x:v>
      </x:c>
      <x:c r="D235" s="28" t="str">
        <x:v>https://jobs.ashbyhq.com/ivo-inc/b31e7195-37dd-4631-8648-422cecbb3f83/application</x:v>
      </x:c>
      <x:c r="E235" s="29" t="str">
        <x:v>Active on official site 2026-09-08</x:v>
      </x:c>
      <x:c r="F235" s="29" t="str">
        <x:v>2026-09-08</x:v>
      </x:c>
      <x:c r="G235" s="29"/>
      <x:c r="H235" s="29"/>
      <x:c r="I235" s="28" t="str">
        <x:v>Submitted</x:v>
      </x:c>
      <x:c r="J235" s="30" t="n">
        <x:v>158000</x:v>
      </x:c>
      <x:c r="K235" s="30" t="n">
        <x:v>235000</x:v>
      </x:c>
      <x:c r="L235" s="28" t="str">
        <x:v>15-1252</x:v>
      </x:c>
      <x:c r="M235" s="28" t="str">
        <x:v>Software Developers</x:v>
      </x:c>
      <x:c r="N235" s="31" t="str">
        <x:v>San Francisco-Oakland-Fremont Software Developers Level 1 is $137,093. The full $158,000-$235,000 base range clears Level 1 and reaches advanced wage levels.</x:v>
      </x:c>
      <x:c r="O235" s="31" t="str">
        <x:v>San Francisco, CA</x:v>
      </x:c>
      <x:c r="P235" s="31"/>
      <x:c r="Q235" s="31" t="str">
        <x:v>On-site, five days per week</x:v>
      </x:c>
      <x:c r="R235" s="31" t="str">
        <x:v>Explicitly supportive: the official description offers relocation, visa and green-card support where applicable</x:v>
      </x:c>
      <x:c r="S235" s="31" t="str">
        <x:v>Exceptional and realistic</x:v>
      </x:c>
      <x:c r="T235" s="31" t="str">
        <x:v>React/TypeScript interfaces, Python and FastAPI services, LLM orchestration, data extraction, RAG, high-volume document processing, product collaboration and end-to-end generative-AI features map directly to the resume. No minimum years of experience is stated.</x:v>
      </x:c>
      <x:c r="U235" s="31" t="str">
        <x:v>Yuxuan_Chen_Resume_Giga_Software_Engineer_AI_Agents_20260907.pdf</x:v>
      </x:c>
      <x:c r="V235" s="31" t="str">
        <x:v>None</x:v>
      </x:c>
      <x:c r="W235" s="31" t="str">
        <x:v>Submitted successfully through the official Ashby application on 2026-09-08; authoritative Success confirmation received. Included tailored, fact-based narratives about Ivo’s document-heavy legal workflow and the GEO/AI-agent platform; current authorization Yes, future sponsorship Yes, five-day office Yes, email updates, and LinkedIn source.</x:v>
      </x:c>
    </x:row>
    <x:row r="236">
      <x:c r="A236" s="28" t="str">
        <x:v>BeaconFire Inc.</x:v>
      </x:c>
      <x:c r="B236" s="28" t="str">
        <x:v>Junior Java Developer</x:v>
      </x:c>
      <x:c r="C236" s="28" t="str">
        <x:v>https://www.linkedin.com/jobs/view/4459957269/</x:v>
      </x:c>
      <x:c r="D236" s="28" t="str">
        <x:v>LinkedIn Easy Apply</x:v>
      </x:c>
      <x:c r="E236" s="29" t="str">
        <x:v>LinkedIn reposted 2026-09-08</x:v>
      </x:c>
      <x:c r="F236" s="29" t="str">
        <x:v>2026-09-08</x:v>
      </x:c>
      <x:c r="G236" s="29"/>
      <x:c r="H236" s="29"/>
      <x:c r="I236" s="28" t="str">
        <x:v>Halted</x:v>
      </x:c>
      <x:c r="J236" s="30" t="n">
        <x:v>65000</x:v>
      </x:c>
      <x:c r="K236" s="30" t="n">
        <x:v>80000</x:v>
      </x:c>
      <x:c r="L236" s="28" t="str">
        <x:v>15-1252</x:v>
      </x:c>
      <x:c r="M236" s="28" t="str">
        <x:v>Software Developers</x:v>
      </x:c>
      <x:c r="N236" s="31" t="str">
        <x:v>The statewide California location is not specific enough for a single wage area, but the $65,000-$80,000 range is far below the Software Developers Level 1 benchmark in the major California markets relevant to this listing. It does not satisfy the applicant’s H-1B wage preference.</x:v>
      </x:c>
      <x:c r="O236" s="31" t="str">
        <x:v>California, United States</x:v>
      </x:c>
      <x:c r="P236" s="31"/>
      <x:c r="Q236" s="31" t="str">
        <x:v>On-site</x:v>
      </x:c>
      <x:c r="R236" s="31" t="str">
        <x:v>Not stated in the complete LinkedIn description</x:v>
      </x:c>
      <x:c r="S236" s="31" t="str">
        <x:v>Strong skills match; wage-incompatible</x:v>
      </x:c>
      <x:c r="T236" s="31" t="str">
        <x:v>Java, JavaScript, React, TypeScript, PostgreSQL, APIs, CI/CD, observability, RAG and AI-agent work align well, and the preferred 0-1 year experience range is realistic. Compensation is the decisive blocker.</x:v>
      </x:c>
      <x:c r="U236" s="31" t="str">
        <x:v>Not used; existing Salesforce full-stack resume would otherwise be suitable</x:v>
      </x:c>
      <x:c r="V236" s="31" t="str">
        <x:v>None</x:v>
      </x:c>
      <x:c r="W236" s="31" t="str">
        <x:v>Halted after full LinkedIn description review because the entire $65,000-$80,000 range is below the relevant California Level 1 software-developer wage benchmarks. No application or new resume was started.</x:v>
      </x:c>
    </x:row>
    <x:row r="237">
      <x:c r="A237" s="28" t="str">
        <x:v>DivIHN Integration Inc.</x:v>
      </x:c>
      <x:c r="B237" s="28" t="str">
        <x:v>Junior Software Engineer / Software Engineer I</x:v>
      </x:c>
      <x:c r="C237" s="28" t="str">
        <x:v>https://www.linkedin.com/jobs/view/4463548860/</x:v>
      </x:c>
      <x:c r="D237" s="28" t="str">
        <x:v>LinkedIn Easy Apply</x:v>
      </x:c>
      <x:c r="E237" s="29" t="str">
        <x:v>LinkedIn posted 2026-09-08</x:v>
      </x:c>
      <x:c r="F237" s="29" t="str">
        <x:v>2026-09-08</x:v>
      </x:c>
      <x:c r="G237" s="29"/>
      <x:c r="H237" s="29"/>
      <x:c r="I237" s="28" t="str">
        <x:v>Halted</x:v>
      </x:c>
      <x:c r="J237" s="30" t="n">
        <x:v>86070</x:v>
      </x:c>
      <x:c r="K237" s="30" t="n">
        <x:v>86070</x:v>
      </x:c>
      <x:c r="L237" s="28" t="str">
        <x:v>15-1252</x:v>
      </x:c>
      <x:c r="M237" s="28" t="str">
        <x:v>Software Developers</x:v>
      </x:c>
      <x:c r="N237" s="31" t="str">
        <x:v>The $41.38 hourly rate annualizes to approximately $86,070 at 2,080 hours. Elmira, NY Software Developers Level 1 is $87,048, so the annualized rate is about $978 below Level 1.</x:v>
      </x:c>
      <x:c r="O237" s="31" t="str">
        <x:v>Painted Post, NY</x:v>
      </x:c>
      <x:c r="P237" s="31"/>
      <x:c r="Q237" s="31" t="str">
        <x:v>On-site; 0-25% domestic travel</x:v>
      </x:c>
      <x:c r="R237" s="31" t="str">
        <x:v>Not stated; only direct W-2 candidates are eligible and third-party/C2C candidates are excluded</x:v>
      </x:c>
      <x:c r="S237" s="31" t="str">
        <x:v>Strong technical fit; contract and wage-incompatible</x:v>
      </x:c>
      <x:c r="T237" s="31" t="str">
        <x:v>New graduates are explicitly welcome, and Python, Java, TypeScript, React, microservices, Git, testing and relational databases align. The 12-month contract structure and slightly sub-Level-1 annualized pay are decisive blockers.</x:v>
      </x:c>
      <x:c r="U237" s="31" t="str">
        <x:v>Not used; existing Salesforce full-stack resume would otherwise be suitable</x:v>
      </x:c>
      <x:c r="V237" s="31" t="str">
        <x:v>None</x:v>
      </x:c>
      <x:c r="W237" s="31" t="str">
        <x:v>Halted after full LinkedIn description review. This is a 12-month W-2 contract with possible extension and relocation at the candidate’s expense. The applicant currently prefers not to pursue contract roles, and the annualized rate is below Elmira Level 1. No application or new resume was started.</x:v>
      </x:c>
    </x:row>
    <x:row r="238">
      <x:c r="A238" s="28" t="str">
        <x:v>ConsultNet Technology Services and Solutions</x:v>
      </x:c>
      <x:c r="B238" s="28" t="str">
        <x:v>Senior Fullstack Engineer</x:v>
      </x:c>
      <x:c r="C238" s="28" t="str">
        <x:v>https://www.linkedin.com/jobs/view/4456794548/</x:v>
      </x:c>
      <x:c r="D238" s="28" t="str">
        <x:v>LinkedIn Easy Apply</x:v>
      </x:c>
      <x:c r="E238" s="29" t="str">
        <x:v>LinkedIn reposted 2026-09-08</x:v>
      </x:c>
      <x:c r="F238" s="29" t="str">
        <x:v>2026-09-08</x:v>
      </x:c>
      <x:c r="G238" s="29"/>
      <x:c r="H238" s="29"/>
      <x:c r="I238" s="28" t="str">
        <x:v>Halted</x:v>
      </x:c>
      <x:c r="J238" s="30"/>
      <x:c r="K238" s="30"/>
      <x:c r="L238" s="28" t="str">
        <x:v>15-1252</x:v>
      </x:c>
      <x:c r="M238" s="28" t="str">
        <x:v>Software Developers</x:v>
      </x:c>
      <x:c r="N238" s="31" t="str">
        <x:v>The listing states pay is dependent on experience and gives no rate or salary, so Level 1 compatibility cannot be verified. The senior seven-year experience requirement and contract structure independently make the role unsuitable.</x:v>
      </x:c>
      <x:c r="O238" s="31" t="str">
        <x:v>New York, NY</x:v>
      </x:c>
      <x:c r="P238" s="31" t="str">
        <x:v>Washington, DC metropolitan area</x:v>
      </x:c>
      <x:c r="Q238" s="31" t="str">
        <x:v>Hybrid contract</x:v>
      </x:c>
      <x:c r="R238" s="31" t="str">
        <x:v>Not stated in the complete LinkedIn description</x:v>
      </x:c>
      <x:c r="S238" s="31" t="str">
        <x:v>Low; senior contract role</x:v>
      </x:c>
      <x:c r="T238" s="31" t="str">
        <x:v>TypeScript, REST APIs, AWS, PostgreSQL, CI/CD, Playwright and Python overlap, but the role requires 7+ years overall, 3+ years production Node.js, 3+ years Angular, mentoring, and an immediate start.</x:v>
      </x:c>
      <x:c r="U238" s="31" t="str">
        <x:v>Not used</x:v>
      </x:c>
      <x:c r="V238" s="31" t="str">
        <x:v>None</x:v>
      </x:c>
      <x:c r="W238" s="31" t="str">
        <x:v>Halted after full LinkedIn description review because this is a senior contract role with a seven-year experience floor, deep Angular/Node requirements, no disclosed pay, and an ASAP start that precedes OPT availability. No application or tailored resume was started.</x:v>
      </x:c>
    </x:row>
    <x:row r="239">
      <x:c r="A239" s="28" t="str">
        <x:v>Jobright.ai</x:v>
      </x:c>
      <x:c r="B239" s="28" t="str">
        <x:v>AI Engineer</x:v>
      </x:c>
      <x:c r="C239" s="28" t="str">
        <x:v>https://www.linkedin.com/jobs/view/4463569089/</x:v>
      </x:c>
      <x:c r="D239" s="28" t="str">
        <x:v>https://jobright.ai/jobs/info/b2b_1780982593424_632</x:v>
      </x:c>
      <x:c r="E239" s="29" t="str">
        <x:v>LinkedIn posted 2026-09-08</x:v>
      </x:c>
      <x:c r="F239" s="29" t="str">
        <x:v>2026-09-08</x:v>
      </x:c>
      <x:c r="G239" s="29"/>
      <x:c r="H239" s="29"/>
      <x:c r="I239" s="28" t="str">
        <x:v>Needs input</x:v>
      </x:c>
      <x:c r="J239" s="30" t="n">
        <x:v>150000</x:v>
      </x:c>
      <x:c r="K239" s="30" t="n">
        <x:v>260000</x:v>
      </x:c>
      <x:c r="L239" s="28" t="str">
        <x:v>15-1252</x:v>
      </x:c>
      <x:c r="M239" s="28" t="str">
        <x:v>Software Developers</x:v>
      </x:c>
      <x:c r="N239" s="31" t="str">
        <x:v>The official Jobright role page publishes $150,000-$260,000. The San Jose-Sunnyvale-Santa Clara Software Developers Level 1 benchmark is $137,093, so the entire published range clears Level 1 by at least $12,907.</x:v>
      </x:c>
      <x:c r="O239" s="31" t="str">
        <x:v>Santa Clara County, CA</x:v>
      </x:c>
      <x:c r="P239" s="31"/>
      <x:c r="Q239" s="31" t="str">
        <x:v>On-site; full-time</x:v>
      </x:c>
      <x:c r="R239" s="31" t="str">
        <x:v>Compatible: the official Jobright role page explicitly labels the role H1B Sponsored.</x:v>
      </x:c>
      <x:c r="S239" s="31" t="str">
        <x:v>Exceptional technical fit; wage and sponsorship compatible</x:v>
      </x:c>
      <x:c r="T239" s="31" t="str">
        <x:v>The required 1-5 years, production AI products, LLMs, agents, RAG, backend or full-stack development and project ownership align closely with the candidate’s research and internship work. Startup intensity is a preference concern but not an absolute blocker.</x:v>
      </x:c>
      <x:c r="U239" s="31" t="str">
        <x:v>Yuxuan_Chen_Resume_Giga_Software_Engineer_AI_Agents_20260907.pdf uploaded</x:v>
      </x:c>
      <x:c r="V239" s="31" t="str">
        <x:v>No applicant information is missing. Platform is stuck at “Verifying LinkedIn account…” after Submit Application and did not open a verification window or return a success receipt.</x:v>
      </x:c>
      <x:c r="W239" s="31" t="str">
        <x:v>All application fields and the AI-product experience narrative were completed and Submit Application was clicked on 2026-09-08. The platform is technically blocked during LinkedIn ownership verification, so this is not recorded as Submitted until an authoritative success confirmation appears.</x:v>
      </x:c>
    </x:row>
    <x:row r="240">
      <x:c r="A240" s="28" t="str">
        <x:v>CGI</x:v>
      </x:c>
      <x:c r="B240" s="28" t="str">
        <x:v>AI and Cloud Native Developer</x:v>
      </x:c>
      <x:c r="C240" s="28" t="str">
        <x:v>https://www.linkedin.com/jobs/view/4464673809/</x:v>
      </x:c>
      <x:c r="D240" s="28" t="str">
        <x:v>https://cgi.njoyn.com/corp/xweb/xweb.asp?clid=21001&amp;page=jobdetails&amp;jobid=J0926-0477&amp;BRID=1331201&amp;SBDID=943&amp;lang=1</x:v>
      </x:c>
      <x:c r="E240" s="29" t="str">
        <x:v>LinkedIn posted 2026-09-08</x:v>
      </x:c>
      <x:c r="F240" s="29" t="str">
        <x:v>2026-09-08</x:v>
      </x:c>
      <x:c r="G240" s="29"/>
      <x:c r="H240" s="29"/>
      <x:c r="I240" s="28" t="str">
        <x:v>Halted</x:v>
      </x:c>
      <x:c r="J240" s="30" t="n">
        <x:v>63700</x:v>
      </x:c>
      <x:c r="K240" s="30" t="n">
        <x:v>156700</x:v>
      </x:c>
      <x:c r="L240" s="28" t="str">
        <x:v>15-1252</x:v>
      </x:c>
      <x:c r="M240" s="28" t="str">
        <x:v>Software Developers</x:v>
      </x:c>
      <x:c r="N240" s="31" t="str">
        <x:v>The broad $63,700-$156,700 range may reach the Lafayette-area Software Developers Level 1 benchmark, but immigration eligibility is independently dispositive because the role supports federal contracts and requires U.S. citizenship.</x:v>
      </x:c>
      <x:c r="O240" s="31" t="str">
        <x:v>Lafayette, LA</x:v>
      </x:c>
      <x:c r="P240" s="31"/>
      <x:c r="Q240" s="31" t="str">
        <x:v>Hybrid; full-time</x:v>
      </x:c>
      <x:c r="R240" s="31" t="str">
        <x:v>Incompatible: the complete description explicitly states U.S. citizenship is required due to the government contracts supported.</x:v>
      </x:c>
      <x:c r="S240" s="31" t="str">
        <x:v>Strong technical fit; citizenship-incompatible</x:v>
      </x:c>
      <x:c r="T240" s="31" t="str">
        <x:v>Python, cloud-native APIs, AI agents, CI/CD, containers, AWS/GCP and rapid prototyping align well. The mandatory citizenship requirement makes the role unavailable to an F-1/OPT candidate.</x:v>
      </x:c>
      <x:c r="U240" s="31" t="str">
        <x:v>Not used; the existing Giga AI Agents resume would otherwise be the best fit</x:v>
      </x:c>
      <x:c r="V240" s="31" t="str">
        <x:v>None</x:v>
      </x:c>
      <x:c r="W240" s="31" t="str">
        <x:v>Halted immediately after complete description review. No application was started, no personal data was transmitted and no new resume was created.</x:v>
      </x:c>
    </x:row>
    <x:row r="241">
      <x:c r="A241" s="28" t="str">
        <x:v>Toyon Research Corporation</x:v>
      </x:c>
      <x:c r="B241" s="28" t="str">
        <x:v>Software and Embedded Systems Engineer</x:v>
      </x:c>
      <x:c r="C241" s="28" t="str">
        <x:v>https://www.linkedin.com/jobs/view/4462544683/</x:v>
      </x:c>
      <x:c r="D241" s="28" t="str">
        <x:v>https://recruiting.paylocity.com/Recruiting/Jobs/Details/4485687</x:v>
      </x:c>
      <x:c r="E241" s="29" t="str">
        <x:v>LinkedIn posted 2026-09-08</x:v>
      </x:c>
      <x:c r="F241" s="29" t="str">
        <x:v>2026-09-08</x:v>
      </x:c>
      <x:c r="G241" s="29"/>
      <x:c r="H241" s="29"/>
      <x:c r="I241" s="28" t="str">
        <x:v>Halted</x:v>
      </x:c>
      <x:c r="J241" s="30" t="n">
        <x:v>90000</x:v>
      </x:c>
      <x:c r="K241" s="30" t="n">
        <x:v>150000</x:v>
      </x:c>
      <x:c r="L241" s="28" t="str">
        <x:v>15-1252</x:v>
      </x:c>
      <x:c r="M241" s="28" t="str">
        <x:v>Software Developers</x:v>
      </x:c>
      <x:c r="N241" s="31" t="str">
        <x:v>The $90,000-$150,000 range requires a Santa Barbara-area wage comparison, but the explicit citizenship and DoD-clearance requirements independently disqualify the role.</x:v>
      </x:c>
      <x:c r="O241" s="31" t="str">
        <x:v>Goleta, CA</x:v>
      </x:c>
      <x:c r="P241" s="31"/>
      <x:c r="Q241" s="31" t="str">
        <x:v>On-site; full-time</x:v>
      </x:c>
      <x:c r="R241" s="31" t="str">
        <x:v>Incompatible: U.S. citizenship and eligibility for a Department of Defense security clearance are mandatory.</x:v>
      </x:c>
      <x:c r="S241" s="31" t="str">
        <x:v>Low; immigration and specialization mismatch</x:v>
      </x:c>
      <x:c r="T241" s="31" t="str">
        <x:v>Python overlaps, but the role centers on C/C++, FPGAs, SoCs, embedded processors, DSP, RF and radar signal processing, which are not supported by the resume. Citizenship is an absolute blocker.</x:v>
      </x:c>
      <x:c r="U241" s="31" t="str">
        <x:v>Not used</x:v>
      </x:c>
      <x:c r="V241" s="31" t="str">
        <x:v>None</x:v>
      </x:c>
      <x:c r="W241" s="31" t="str">
        <x:v>Halted after complete description review. No application was started, no personal data was transmitted and no new resume was created.</x:v>
      </x:c>
    </x:row>
    <x:row r="242">
      <x:c r="A242" s="28" t="str">
        <x:v>Coherent Corp.</x:v>
      </x:c>
      <x:c r="B242" s="28" t="str">
        <x:v>TEMP- Software Engineer</x:v>
      </x:c>
      <x:c r="C242" s="28" t="str">
        <x:v>https://www.linkedin.com/jobs/view/4462535870/</x:v>
      </x:c>
      <x:c r="D242" s="28" t="str">
        <x:v>https://hcwp.fa.us2.oraclecloud.com/hcmUI/CandidateExperience/en/job/2014627/</x:v>
      </x:c>
      <x:c r="E242" s="29" t="str">
        <x:v>LinkedIn posted 2026-09-08</x:v>
      </x:c>
      <x:c r="F242" s="29" t="str">
        <x:v>2026-09-08</x:v>
      </x:c>
      <x:c r="G242" s="29"/>
      <x:c r="H242" s="29"/>
      <x:c r="I242" s="28" t="str">
        <x:v>Halted</x:v>
      </x:c>
      <x:c r="J242" s="30" t="n">
        <x:v>62300</x:v>
      </x:c>
      <x:c r="K242" s="30" t="n">
        <x:v>101982</x:v>
      </x:c>
      <x:c r="L242" s="28" t="str">
        <x:v>15-1252</x:v>
      </x:c>
      <x:c r="M242" s="28" t="str">
        <x:v>Software Developers</x:v>
      </x:c>
      <x:c r="N242" s="31" t="str">
        <x:v>LinkedIn displays $29.95-$49.03 per hour, but the job is capped at only 5-10 hours per week for 4-5 months. Annualized full-time equivalents are not meaningful for this short part-time engagement, and actual annual earnings cannot support the candidate’s full-time H-1B-oriented search.</x:v>
      </x:c>
      <x:c r="O242" s="31" t="str">
        <x:v>Fremont, CA (remote)</x:v>
      </x:c>
      <x:c r="P242" s="31"/>
      <x:c r="Q242" s="31" t="str">
        <x:v>Remote; part-time temporary, approximately 5 hours per week and capped at 10</x:v>
      </x:c>
      <x:c r="R242" s="31" t="str">
        <x:v>Not stated; the temporary, very-low-hours structure is incompatible with the target search.</x:v>
      </x:c>
      <x:c r="S242" s="31" t="str">
        <x:v>Moderate technical overlap; employment-structure mismatch</x:v>
      </x:c>
      <x:c r="T242" s="31" t="str">
        <x:v>Python, automation, test infrastructure and observability overlap, but the role emphasizes firmware, hardware interfaces, optics and lab equipment. More importantly, it is a 4-5 month role averaging about five hours per week.</x:v>
      </x:c>
      <x:c r="U242" s="31" t="str">
        <x:v>Not used</x:v>
      </x:c>
      <x:c r="V242" s="31" t="str">
        <x:v>None</x:v>
      </x:c>
      <x:c r="W242" s="31" t="str">
        <x:v>Halted after complete description review because the candidate does not want contract work and this is only a 5-10 hour weekly temporary engagement. No application or new resume was started.</x:v>
      </x:c>
    </x:row>
    <x:row r="243">
      <x:c r="A243" s="28" t="str">
        <x:v>IDR, Inc.</x:v>
      </x:c>
      <x:c r="B243" s="28" t="str">
        <x:v>Junior AI/ML Engineer</x:v>
      </x:c>
      <x:c r="C243" s="28" t="str">
        <x:v>https://www.linkedin.com/jobs/view/4464671819/</x:v>
      </x:c>
      <x:c r="D243" s="28" t="str">
        <x:v>LinkedIn Easy Apply</x:v>
      </x:c>
      <x:c r="E243" s="29" t="str">
        <x:v>LinkedIn posted 2026-09-08</x:v>
      </x:c>
      <x:c r="F243" s="29" t="str">
        <x:v>2026-09-08</x:v>
      </x:c>
      <x:c r="G243" s="29"/>
      <x:c r="H243" s="29"/>
      <x:c r="I243" s="28" t="str">
        <x:v>Halted</x:v>
      </x:c>
      <x:c r="J243" s="30"/>
      <x:c r="K243" s="30"/>
      <x:c r="L243" s="28" t="str">
        <x:v>15-2051</x:v>
      </x:c>
      <x:c r="M243" s="28" t="str">
        <x:v>Data Scientists</x:v>
      </x:c>
      <x:c r="N243" s="31" t="str">
        <x:v>No compensation is disclosed. LinkedIn lists Austin, TX hybrid while the description calls the client opportunity remote, so the actual worksite and corresponding prevailing wage are not yet reliable enough for a Level 1 determination.</x:v>
      </x:c>
      <x:c r="O243" s="31" t="str">
        <x:v>Austin, TX pending recruiter clarification</x:v>
      </x:c>
      <x:c r="P243" s="31" t="str">
        <x:v>Description says remote; actual client worksite is unclear</x:v>
      </x:c>
      <x:c r="Q243" s="31" t="str">
        <x:v>Conflicting listing: LinkedIn hybrid, description remote; full-time</x:v>
      </x:c>
      <x:c r="R243" s="31" t="str">
        <x:v>Not stated. IDR is a staffing firm and the undisclosed client is a major transportation agency, so sponsorship and any public-sector eligibility restrictions require clarification.</x:v>
      </x:c>
      <x:c r="S243" s="31" t="str">
        <x:v>Exceptional technical fit; employment details pending</x:v>
      </x:c>
      <x:c r="T243" s="31" t="str">
        <x:v>Python, SQL, NLP, AI/ML applications, scalable pipelines, REST APIs, CI/CD, Docker, cloud services and model monitoring align closely with the candidate’s background. The listed requirements explicitly accept coursework plus some hands-on experience.</x:v>
      </x:c>
      <x:c r="U243" s="31" t="str">
        <x:v>Not yet submitted; reuse Yuxuan_Chen_Resume_Giga_Software_Engineer_AI_Agents_20260907.pdf</x:v>
      </x:c>
      <x:c r="V243" s="31" t="str">
        <x:v>None</x:v>
      </x:c>
      <x:c r="W243" s="31" t="str">
        <x:v>LinkedIn now states that this role is no longer accepting applications. No application could be started; skipped immediately on 2026-09-14.</x:v>
      </x:c>
    </x:row>
    <x:row r="244">
      <x:c r="A244" s="28" t="str">
        <x:v>FDM Group</x:v>
      </x:c>
      <x:c r="B244" s="28" t="str">
        <x:v>Junior Software Engineer</x:v>
      </x:c>
      <x:c r="C244" s="28" t="str">
        <x:v>https://www.linkedin.com/jobs/view/4464678832/</x:v>
      </x:c>
      <x:c r="D244" s="28" t="str">
        <x:v>LinkedIn Easy Apply</x:v>
      </x:c>
      <x:c r="E244" s="29" t="str">
        <x:v>LinkedIn posted 2026-09-08</x:v>
      </x:c>
      <x:c r="F244" s="29" t="str">
        <x:v>2026-09-08</x:v>
      </x:c>
      <x:c r="G244" s="29"/>
      <x:c r="H244" s="29"/>
      <x:c r="I244" s="28" t="str">
        <x:v>Halted</x:v>
      </x:c>
      <x:c r="J244" s="30"/>
      <x:c r="K244" s="30"/>
      <x:c r="L244" s="28" t="str">
        <x:v>15-1252</x:v>
      </x:c>
      <x:c r="M244" s="28" t="str">
        <x:v>Software Developers</x:v>
      </x:c>
      <x:c r="N244" s="31" t="str">
        <x:v>The posting discloses no salary and assignments can occur across numerous U.S. client offices, preventing a defensible location-specific wage comparison. The explicit no-sponsorship requirement independently disqualifies the role.</x:v>
      </x:c>
      <x:c r="O244" s="31" t="str">
        <x:v>Charlotte, NC listing; assignments nationwide</x:v>
      </x:c>
      <x:c r="P244" s="31" t="str">
        <x:v>NY Metro, TX, FL, NC, GA, Chicago and Boston among possible client offices</x:v>
      </x:c>
      <x:c r="Q244" s="31" t="str">
        <x:v>On-site at client offices after 6-12 weeks training; two-year consulting commitment</x:v>
      </x:c>
      <x:c r="R244" s="31" t="str">
        <x:v>Incompatible: applicants must be legally authorized to work in the U.S. without employer sponsorship.</x:v>
      </x:c>
      <x:c r="S244" s="31" t="str">
        <x:v>Technical fit; sponsorship-incompatible</x:v>
      </x:c>
      <x:c r="T244" s="31" t="str">
        <x:v>Java, React, cloud development and full-stack work are relevant, but the position is a training-to-consulting placement program requiring a two-year commitment and no employer sponsorship.</x:v>
      </x:c>
      <x:c r="U244" s="31" t="str">
        <x:v>Not used</x:v>
      </x:c>
      <x:c r="V244" s="31" t="str">
        <x:v>None</x:v>
      </x:c>
      <x:c r="W244" s="31" t="str">
        <x:v>Halted after complete description review because future sponsorship is explicitly excluded. No application or new resume was started.</x:v>
      </x:c>
    </x:row>
    <x:row r="245">
      <x:c r="A245" s="28" t="str">
        <x:v>the LEGO Group</x:v>
      </x:c>
      <x:c r="B245" s="28" t="str">
        <x:v>Front-End Software Engineer — BrickLink Catalog</x:v>
      </x:c>
      <x:c r="C245" s="28" t="str">
        <x:v>https://www.linkedin.com/jobs/view/4462543801/</x:v>
      </x:c>
      <x:c r="D245" s="28" t="str">
        <x:v>https://lego.wd103.myworkdayjobs.com/en-US/LEGO_External/job/Billund/Front-End-Software-Engineer_0000035564</x:v>
      </x:c>
      <x:c r="E245" s="29" t="str">
        <x:v>LinkedIn posted 2026-09-08</x:v>
      </x:c>
      <x:c r="F245" s="29" t="str">
        <x:v>2026-09-08</x:v>
      </x:c>
      <x:c r="G245" s="29"/>
      <x:c r="H245" s="29"/>
      <x:c r="I245" s="28" t="str">
        <x:v>Halted</x:v>
      </x:c>
      <x:c r="J245" s="30"/>
      <x:c r="K245" s="30"/>
      <x:c r="L245" s="28" t="str">
        <x:v>15-1252</x:v>
      </x:c>
      <x:c r="M245" s="28" t="str">
        <x:v>Software Developers</x:v>
      </x:c>
      <x:c r="N245" s="31" t="str">
        <x:v>No salary is disclosed for the Irvine, CA listing, so compatibility with the local Software Developers Level 1 wage cannot be established.</x:v>
      </x:c>
      <x:c r="O245" s="31" t="str">
        <x:v>Irvine, CA</x:v>
      </x:c>
      <x:c r="P245" s="31"/>
      <x:c r="Q245" s="31" t="str">
        <x:v>Hybrid; average three days per week in office</x:v>
      </x:c>
      <x:c r="R245" s="31" t="str">
        <x:v>Not stated in the complete description.</x:v>
      </x:c>
      <x:c r="S245" s="31" t="str">
        <x:v>Partial fit; core frontend production requirements unsupported</x:v>
      </x:c>
      <x:c r="T245" s="31" t="str">
        <x:v>React, TypeScript and Playwright overlap, but the role expects demonstrated production-scale React and Next.js delivery, reusable component architecture and ownership of complex frontend solutions. The resume has no defensible Next.js or large-scale frontend ownership evidence.</x:v>
      </x:c>
      <x:c r="U245" s="31" t="str">
        <x:v>Not used</x:v>
      </x:c>
      <x:c r="V245" s="31" t="str">
        <x:v>None</x:v>
      </x:c>
      <x:c r="W245" s="31" t="str">
        <x:v>Halted after complete description review because the core production Next.js/component-system experience is not supported and salary/sponsorship are undisclosed. No speculative resume rewrite or application was started.</x:v>
      </x:c>
    </x:row>
    <x:row r="246">
      <x:c r="A246" s="28" t="str">
        <x:v>Jobright.ai</x:v>
      </x:c>
      <x:c r="B246" s="28" t="str">
        <x:v>Full Stack Software Engineer, New Grad</x:v>
      </x:c>
      <x:c r="C246" s="28" t="str">
        <x:v>https://www.linkedin.com/jobs/view/4463570066/</x:v>
      </x:c>
      <x:c r="D246" s="28" t="str">
        <x:v>https://jobright.ai/jobs/info/b2b_1785459998805_770</x:v>
      </x:c>
      <x:c r="E246" s="29" t="str">
        <x:v>LinkedIn posted 2026-09-08</x:v>
      </x:c>
      <x:c r="F246" s="29" t="str">
        <x:v>2026-09-08</x:v>
      </x:c>
      <x:c r="G246" s="29"/>
      <x:c r="H246" s="29"/>
      <x:c r="I246" s="28" t="str">
        <x:v>Halted</x:v>
      </x:c>
      <x:c r="J246" s="30"/>
      <x:c r="K246" s="30"/>
      <x:c r="L246" s="28" t="str">
        <x:v>15-1252</x:v>
      </x:c>
      <x:c r="M246" s="28" t="str">
        <x:v>Software Developers</x:v>
      </x:c>
      <x:c r="N246" s="31" t="str">
        <x:v>The remote U.S. role does not publish salary or an employing worksite, so a location-specific prevailing-wage comparison cannot be made. The official role page’s explicit No H1B label independently disqualifies it.</x:v>
      </x:c>
      <x:c r="O246" s="31" t="str">
        <x:v>Remote U.S. (worksite unspecified)</x:v>
      </x:c>
      <x:c r="P246" s="31"/>
      <x:c r="Q246" s="31" t="str">
        <x:v>Remote; full-time</x:v>
      </x:c>
      <x:c r="R246" s="31" t="str">
        <x:v>Incompatible: the official Jobright role page explicitly labels this position No H1B.</x:v>
      </x:c>
      <x:c r="S246" s="31" t="str">
        <x:v>Exceptional technical fit; visa-incompatible</x:v>
      </x:c>
      <x:c r="T246" s="31" t="str">
        <x:v>Recent-graduate status, TypeScript, React, Python, SQL, APIs, databases, testing, third-party AI integrations and full-stack internship experience align exceptionally well. The No H1B label is decisive.</x:v>
      </x:c>
      <x:c r="U246" s="31" t="str">
        <x:v>Not used; the existing Giga AI Agents resume would otherwise be suitable</x:v>
      </x:c>
      <x:c r="V246" s="31" t="str">
        <x:v>None</x:v>
      </x:c>
      <x:c r="W246" s="31" t="str">
        <x:v>Halted after reviewing both LinkedIn and the official Jobright role page. No profile was sent and no new resume was created.</x:v>
      </x:c>
    </x:row>
    <x:row r="247">
      <x:c r="A247" s="28" t="str">
        <x:v>CyberX Info System</x:v>
      </x:c>
      <x:c r="B247" s="28" t="str">
        <x:v>Forward Deployed Engineer (Gemini CX / Conversational AI)</x:v>
      </x:c>
      <x:c r="C247" s="28" t="str">
        <x:v>https://www.linkedin.com/jobs/view/4462535886/</x:v>
      </x:c>
      <x:c r="D247" s="28" t="str">
        <x:v>LinkedIn Easy Apply</x:v>
      </x:c>
      <x:c r="E247" s="29" t="str">
        <x:v>LinkedIn posted 2026-09-08</x:v>
      </x:c>
      <x:c r="F247" s="29" t="str">
        <x:v>2026-09-08</x:v>
      </x:c>
      <x:c r="G247" s="29"/>
      <x:c r="H247" s="29"/>
      <x:c r="I247" s="28" t="str">
        <x:v>Halted</x:v>
      </x:c>
      <x:c r="J247" s="30"/>
      <x:c r="K247" s="30"/>
      <x:c r="L247" s="28" t="str">
        <x:v>15-1252</x:v>
      </x:c>
      <x:c r="M247" s="28" t="str">
        <x:v>Software Developers</x:v>
      </x:c>
      <x:c r="N247" s="31" t="str">
        <x:v>No compensation is disclosed for the Sunnyvale worksite. The role’s mandatory 4-5 year platform-specific experience requirements independently make it unrealistic before a wage comparison would change the decision.</x:v>
      </x:c>
      <x:c r="O247" s="31" t="str">
        <x:v>Sunnyvale, CA</x:v>
      </x:c>
      <x:c r="P247" s="31"/>
      <x:c r="Q247" s="31" t="str">
        <x:v>Hybrid</x:v>
      </x:c>
      <x:c r="R247" s="31" t="str">
        <x:v>Not stated; third-party staffing post.</x:v>
      </x:c>
      <x:c r="S247" s="31" t="str">
        <x:v>Low; senior platform-specific role</x:v>
      </x:c>
      <x:c r="T247" s="31" t="str">
        <x:v>Agent orchestration, APIs, data pipelines and telemetry overlap, but hands-on Gemini CX is mandatory and the poster adds 4+ years each of Conversational AI and Google Gemini, 5+ years of Generative AI, and 4+ years of telecommunications.</x:v>
      </x:c>
      <x:c r="U247" s="31" t="str">
        <x:v>Not used</x:v>
      </x:c>
      <x:c r="V247" s="31" t="str">
        <x:v>None</x:v>
      </x:c>
      <x:c r="W247" s="31" t="str">
        <x:v>Halted after complete description review because mandatory platform/domain experience is far beyond the documented background. No application or new resume was started.</x:v>
      </x:c>
    </x:row>
    <x:row r="248">
      <x:c r="A248" s="28" t="str">
        <x:v>Amoha Recruitment Services LLC</x:v>
      </x:c>
      <x:c r="B248" s="28" t="str">
        <x:v>AI/ML Engineer (Entry-Level / Junior) — Talent Pipeline</x:v>
      </x:c>
      <x:c r="C248" s="28" t="str">
        <x:v>https://www.linkedin.com/jobs/view/4462542813/</x:v>
      </x:c>
      <x:c r="D248" s="28" t="str">
        <x:v>LinkedIn Easy Apply</x:v>
      </x:c>
      <x:c r="E248" s="29" t="str">
        <x:v>LinkedIn posted 2026-09-08</x:v>
      </x:c>
      <x:c r="F248" s="29" t="str">
        <x:v>2026-09-08</x:v>
      </x:c>
      <x:c r="G248" s="29"/>
      <x:c r="H248" s="29"/>
      <x:c r="I248" s="28" t="str">
        <x:v>Halted</x:v>
      </x:c>
      <x:c r="J248" s="30" t="n">
        <x:v>80000</x:v>
      </x:c>
      <x:c r="K248" s="30" t="n">
        <x:v>120000</x:v>
      </x:c>
      <x:c r="L248" s="28" t="str">
        <x:v>15-2051</x:v>
      </x:c>
      <x:c r="M248" s="28" t="str">
        <x:v>Data Scientists</x:v>
      </x:c>
      <x:c r="N248" s="31" t="str">
        <x:v>This is a nationwide talent pipeline with no specific client or worksite, so no defensible location-specific Level 1 comparison is possible. The $80,000-$120,000 band may clear Level 1 in lower-cost areas but can fall below Level 1 in major markets such as Seattle and California.</x:v>
      </x:c>
      <x:c r="O248" s="31" t="str">
        <x:v>Massachusetts if a qualifying client engagement becomes available</x:v>
      </x:c>
      <x:c r="P248" s="31" t="str">
        <x:v>Nationwide; onsite, hybrid or remote depending on future client engagement</x:v>
      </x:c>
      <x:c r="Q248" s="31" t="str">
        <x:v>Unspecified until client placement; described as full-time</x:v>
      </x:c>
      <x:c r="R248" s="31" t="str">
        <x:v>The posting welcomes OPT, STEM OPT and H-1B candidates, but does not state that Amoha or a future client will sponsor an H-1B petition.</x:v>
      </x:c>
      <x:c r="S248" s="31" t="str">
        <x:v>Strong technical fit; no concrete opening yet</x:v>
      </x:c>
      <x:c r="T248" s="31" t="str">
        <x:v>Python, LLM APIs, RAG, model evaluation, data pipelines, SQL, Docker, CI/CD and cloud platforms align well, and the stated 0-3 year range fits. However, this is only a recruiter talent pipeline for future client roles, not a specific vacancy.</x:v>
      </x:c>
      <x:c r="U248" s="31" t="str">
        <x:v>Not yet submitted; reuse Yuxuan_Chen_Resume_Giga_Software_Engineer_AI_Agents_20260907.pdf if a concrete compatible client role is identified</x:v>
      </x:c>
      <x:c r="V248" s="31" t="str">
        <x:v>No candidate input needed; a concrete client, worksite, salary, employer-of-record, start date and sponsorship commitment are required before application priority can be established.</x:v>
      </x:c>
      <x:c r="W248" s="31" t="str">
        <x:v>Held at discovery rather than submitted because the posting explicitly describes a general pipeline for upcoming engagements. No personal data was transmitted and no new resume was created.</x:v>
      </x:c>
    </x:row>
    <x:row r="249">
      <x:c r="A249" s="28" t="str">
        <x:v>Propio Language Services</x:v>
      </x:c>
      <x:c r="B249" s="28" t="str">
        <x:v>Applied Scientist/Research Engineer, LLM Training Data</x:v>
      </x:c>
      <x:c r="C249" s="28" t="str">
        <x:v>https://www.linkedin.com/jobs/view/4464929900/</x:v>
      </x:c>
      <x:c r="D249" s="28" t="str">
        <x:v>https://www.linkedin.com/jobs/view/4464929900/</x:v>
      </x:c>
      <x:c r="E249" s="29" t="str">
        <x:v>LinkedIn posted 2026-09-08</x:v>
      </x:c>
      <x:c r="F249" s="29" t="str">
        <x:v>2026-09-08</x:v>
      </x:c>
      <x:c r="G249" s="29"/>
      <x:c r="H249" s="29"/>
      <x:c r="I249" s="28" t="str">
        <x:v>Halted</x:v>
      </x:c>
      <x:c r="J249" s="30"/>
      <x:c r="K249" s="30"/>
      <x:c r="L249" s="28" t="str">
        <x:v>15-2051</x:v>
      </x:c>
      <x:c r="M249" s="28" t="str">
        <x:v>Data Scientists</x:v>
      </x:c>
      <x:c r="N249" s="31" t="str">
        <x:v>No salary range was published. Overland Park wage compatibility cannot be confirmed from the posting.</x:v>
      </x:c>
      <x:c r="O249" s="31" t="str">
        <x:v>Overland Park, KS</x:v>
      </x:c>
      <x:c r="P249" s="31"/>
      <x:c r="Q249" s="31" t="str">
        <x:v>On-site</x:v>
      </x:c>
      <x:c r="R249" s="31" t="str">
        <x:v>Not stated in the full posting.</x:v>
      </x:c>
      <x:c r="S249" s="31" t="str">
        <x:v>Low due to experience requirement</x:v>
      </x:c>
      <x:c r="T249" s="31" t="str">
        <x:v>The role matches Python, SQL, LLM evaluation and data-pipeline experience, but explicitly requires 4+ years in AI data, ML data operations, NLP data engineering, applied ML, speech/translation data or LLM workflows. That gap is too large for realistic prioritization.</x:v>
      </x:c>
      <x:c r="U249" s="31" t="str">
        <x:v>Not submitted</x:v>
      </x:c>
      <x:c r="V249" s="31" t="str">
        <x:v>None</x:v>
      </x:c>
      <x:c r="W249" s="31" t="str">
        <x:v>Full LinkedIn description reviewed on 2026-09-08. Skipped because the explicit 4+ years requirement materially exceeds current experience; no application was started.</x:v>
      </x:c>
    </x:row>
    <x:row r="250">
      <x:c r="A250" s="28" t="str">
        <x:v>Always-Energy Technologies</x:v>
      </x:c>
      <x:c r="B250" s="28" t="str">
        <x:v>Software Engineer</x:v>
      </x:c>
      <x:c r="C250" s="28" t="str">
        <x:v>https://www.linkedin.com/jobs/view/4464434316/</x:v>
      </x:c>
      <x:c r="D250" s="28" t="str">
        <x:v>https://www.linkedin.com/jobs/view/4464434316/apply/?openSDUIApplyFlow=true</x:v>
      </x:c>
      <x:c r="E250" s="29" t="str">
        <x:v>LinkedIn posted 2026-09-08</x:v>
      </x:c>
      <x:c r="F250" s="29" t="str">
        <x:v>2026-09-08</x:v>
      </x:c>
      <x:c r="G250" s="29"/>
      <x:c r="H250" s="29"/>
      <x:c r="I250" s="28" t="str">
        <x:v>Halted</x:v>
      </x:c>
      <x:c r="J250" s="30"/>
      <x:c r="K250" s="30"/>
      <x:c r="L250" s="28" t="str">
        <x:v>15-1252</x:v>
      </x:c>
      <x:c r="M250" s="28" t="str">
        <x:v>Software Developers</x:v>
      </x:c>
      <x:c r="N250" s="31" t="str">
        <x:v>The posting does not disclose salary. San Francisco-Oakland-Berkeley Software Developers Level 1 is $137,093, Level 2 is $171,080, Level 3 is $205,046 and Level 4 is $239,034; an offer must be at least $137,093 to meet the selected Level 1 threshold.</x:v>
      </x:c>
      <x:c r="O250" s="31" t="str">
        <x:v>San Francisco, CA</x:v>
      </x:c>
      <x:c r="P250" s="31"/>
      <x:c r="Q250" s="31" t="str">
        <x:v>On-site</x:v>
      </x:c>
      <x:c r="R250" s="31" t="str">
        <x:v>Not stated in the full LinkedIn description.</x:v>
      </x:c>
      <x:c r="S250" s="31" t="str">
        <x:v>Exceptional technical fit</x:v>
      </x:c>
      <x:c r="T250" s="31" t="str">
        <x:v>The role explicitly seeks 0-5 years and directly matches TypeScript, React, Python, FastAPI, PostgreSQL, AWS, APIs, data pipelines, AI/LLM product features and end-to-end feature ownership.</x:v>
      </x:c>
      <x:c r="U250" s="31" t="str">
        <x:v>Not used</x:v>
      </x:c>
      <x:c r="V250" s="31" t="str">
        <x:v>None</x:v>
      </x:c>
      <x:c r="W250" s="31" t="str">
        <x:v>Deferred under the tightened immigration/lottery screen: both sponsorship and salary are undisclosed, while the San Francisco Level 1 floor is $137,093. Reconsider only if the employer confirms sponsorship and qualifying compensation.</x:v>
      </x:c>
    </x:row>
    <x:row r="251">
      <x:c r="A251" s="28" t="str">
        <x:v>Activision</x:v>
      </x:c>
      <x:c r="B251" s="28" t="str">
        <x:v>Software Engineer, Automation and Data - Central Technology</x:v>
      </x:c>
      <x:c r="C251" s="28" t="str">
        <x:v>https://www.linkedin.com/jobs/view/4464941167/</x:v>
      </x:c>
      <x:c r="D251" s="28" t="str">
        <x:v>https://careers.activision.com/job/ACPUUSR027984EXTERNAL/Software-Engineer-Automation-and-Data-Central-Technology</x:v>
      </x:c>
      <x:c r="E251" s="29" t="str">
        <x:v>LinkedIn posted 2026-09-08</x:v>
      </x:c>
      <x:c r="F251" s="29" t="str">
        <x:v>2026-09-08</x:v>
      </x:c>
      <x:c r="G251" s="29"/>
      <x:c r="H251" s="29"/>
      <x:c r="I251" s="28" t="str">
        <x:v>Halted</x:v>
      </x:c>
      <x:c r="J251" s="30" t="n">
        <x:v>79200</x:v>
      </x:c>
      <x:c r="K251" s="30" t="n">
        <x:v>146504</x:v>
      </x:c>
      <x:c r="L251" s="28" t="str">
        <x:v>15-1252</x:v>
      </x:c>
      <x:c r="M251" s="28" t="str">
        <x:v>Software Developers</x:v>
      </x:c>
      <x:c r="N251" s="31" t="str">
        <x:v>Santa Monica is in the Los Angeles-Long Beach-Anaheim area. The published $79,200-$146,504 national range includes values that may not clear the local Level 1 wage; the experience mismatch is independently decisive.</x:v>
      </x:c>
      <x:c r="O251" s="31" t="str">
        <x:v>Santa Monica, CA</x:v>
      </x:c>
      <x:c r="P251" s="31"/>
      <x:c r="Q251" s="31" t="str">
        <x:v>Hybrid</x:v>
      </x:c>
      <x:c r="R251" s="31" t="str">
        <x:v>Not stated in the full posting.</x:v>
      </x:c>
      <x:c r="S251" s="31" t="str">
        <x:v>Low due to mandatory experience</x:v>
      </x:c>
      <x:c r="T251" s="31" t="str">
        <x:v>Automation, Python, SQL, data pipelines, telemetry and distributed systems overlap, but the role requires at least three years with Python plus C++ or C#, test-framework development and gaming-industry experience.</x:v>
      </x:c>
      <x:c r="U251" s="31" t="str">
        <x:v>Not submitted</x:v>
      </x:c>
      <x:c r="V251" s="31" t="str">
        <x:v>None</x:v>
      </x:c>
      <x:c r="W251" s="31" t="str">
        <x:v>Full LinkedIn description reviewed. Skipped because the mandatory three-year Python/C++ or C# and gaming requirements materially exceed the current profile.</x:v>
      </x:c>
    </x:row>
    <x:row r="252">
      <x:c r="A252" s="28" t="str">
        <x:v>Cheil USA</x:v>
      </x:c>
      <x:c r="B252" s="28" t="str">
        <x:v>Software Engineer, Creative Technology</x:v>
      </x:c>
      <x:c r="C252" s="28" t="str">
        <x:v>https://www.linkedin.com/jobs/view/4429599127/</x:v>
      </x:c>
      <x:c r="D252" s="28" t="str">
        <x:v>https://recruitingbypaycor.com/career/JobIntroduction.action?clientId=8a7883d0766d99fc0176fdc995f53d45&amp;id=8a7887a19eb34c3e019ed1e81a10684c&amp;lang=en</x:v>
      </x:c>
      <x:c r="E252" s="29" t="str">
        <x:v>LinkedIn reposted 2026-09-08</x:v>
      </x:c>
      <x:c r="F252" s="29" t="str">
        <x:v>2026-09-08</x:v>
      </x:c>
      <x:c r="G252" s="29"/>
      <x:c r="H252" s="29"/>
      <x:c r="I252" s="28" t="str">
        <x:v>Halted</x:v>
      </x:c>
      <x:c r="J252" s="30"/>
      <x:c r="K252" s="30"/>
      <x:c r="L252" s="28" t="str">
        <x:v>15-1252</x:v>
      </x:c>
      <x:c r="M252" s="28" t="str">
        <x:v>Software Developers</x:v>
      </x:c>
      <x:c r="N252" s="31" t="str">
        <x:v>No salary was disclosed for Plano, Texas, so Level 1 compatibility cannot be confirmed. The mandatory mid-level experience requirement is independently decisive.</x:v>
      </x:c>
      <x:c r="O252" s="31" t="str">
        <x:v>Plano, TX</x:v>
      </x:c>
      <x:c r="P252" s="31"/>
      <x:c r="Q252" s="31" t="str">
        <x:v>On-site</x:v>
      </x:c>
      <x:c r="R252" s="31" t="str">
        <x:v>Not stated in the full posting.</x:v>
      </x:c>
      <x:c r="S252" s="31" t="str">
        <x:v>Moderate skills match but unrealistic seniority</x:v>
      </x:c>
      <x:c r="T252" s="31" t="str">
        <x:v>TypeScript, React, API integrations, AI/LLM tools, web experience and creative technology align, but the posting explicitly calls this a mid-level role and requires 3-5 years of professional web engineering experience.</x:v>
      </x:c>
      <x:c r="U252" s="31" t="str">
        <x:v>Not submitted</x:v>
      </x:c>
      <x:c r="V252" s="31" t="str">
        <x:v>None</x:v>
      </x:c>
      <x:c r="W252" s="31" t="str">
        <x:v>Full LinkedIn description reviewed. Skipped because the explicit 3-5 year professional experience floor is not realistic.</x:v>
      </x:c>
    </x:row>
    <x:row r="253">
      <x:c r="A253" s="28" t="str">
        <x:v>SpaceX</x:v>
      </x:c>
      <x:c r="B253" s="28" t="str">
        <x:v>New Graduate Engineer, Software (Starship)</x:v>
      </x:c>
      <x:c r="C253" s="28" t="str">
        <x:v>https://www.linkedin.com/jobs/view/4464946224/</x:v>
      </x:c>
      <x:c r="D253" s="28" t="str">
        <x:v>https://boards.greenhouse.io/spacex/jobs/8743362002</x:v>
      </x:c>
      <x:c r="E253" s="29" t="str">
        <x:v>LinkedIn posted 2026-09-08</x:v>
      </x:c>
      <x:c r="F253" s="29" t="str">
        <x:v>2026-09-08</x:v>
      </x:c>
      <x:c r="G253" s="29"/>
      <x:c r="H253" s="29"/>
      <x:c r="I253" s="28" t="str">
        <x:v>Halted</x:v>
      </x:c>
      <x:c r="J253" s="30" t="n">
        <x:v>125000</x:v>
      </x:c>
      <x:c r="K253" s="30" t="n">
        <x:v>175000</x:v>
      </x:c>
      <x:c r="L253" s="28" t="str">
        <x:v>15-1252</x:v>
      </x:c>
      <x:c r="M253" s="28" t="str">
        <x:v>Software Developers</x:v>
      </x:c>
      <x:c r="N253" s="31" t="str">
        <x:v>Level I pays $125,000-$150,000 and Level II pays $145,000-$175,000. Wage compatibility is secondary because the ITAR eligibility restriction is incompatible with the current F-1 status.</x:v>
      </x:c>
      <x:c r="O253" s="31" t="str">
        <x:v>Hawthorne, CA</x:v>
      </x:c>
      <x:c r="P253" s="31"/>
      <x:c r="Q253" s="31" t="str">
        <x:v>On-site</x:v>
      </x:c>
      <x:c r="R253" s="31" t="str">
        <x:v>The role requires U.S.-person status under ITAR or separately obtained State Department authorization; the current F-1 profile does not satisfy the stated eligibility categories.</x:v>
      </x:c>
      <x:c r="S253" s="31" t="str">
        <x:v>Ineligible due to export-control restriction</x:v>
      </x:c>
      <x:c r="T253" s="31" t="str">
        <x:v>The 2027 new-graduate timing fits, but the preferred systems-programming profile is a stretch and the ITAR eligibility requirement is disqualifying.</x:v>
      </x:c>
      <x:c r="U253" s="31" t="str">
        <x:v>Not submitted</x:v>
      </x:c>
      <x:c r="V253" s="31" t="str">
        <x:v>None</x:v>
      </x:c>
      <x:c r="W253" s="31" t="str">
        <x:v>Full LinkedIn description reviewed. Skipped due to the explicit ITAR restriction.</x:v>
      </x:c>
    </x:row>
    <x:row r="254">
      <x:c r="A254" s="28" t="str">
        <x:v>Whatnot</x:v>
      </x:c>
      <x:c r="B254" s="28" t="str">
        <x:v>Machine Learning Engineer, Discovery</x:v>
      </x:c>
      <x:c r="C254" s="28" t="str">
        <x:v>https://www.linkedin.com/jobs/view/4463580305/</x:v>
      </x:c>
      <x:c r="D254" s="28" t="str">
        <x:v>https://jobs.ashbyhq.com/whatnot/1ef7144a-265d-4abf-a1d1-a3e2efe8e80d/application</x:v>
      </x:c>
      <x:c r="E254" s="29" t="str">
        <x:v>LinkedIn posted 2026-09-08</x:v>
      </x:c>
      <x:c r="F254" s="29" t="str">
        <x:v>2026-09-08</x:v>
      </x:c>
      <x:c r="G254" s="29"/>
      <x:c r="H254" s="29"/>
      <x:c r="I254" s="28" t="str">
        <x:v>Halted</x:v>
      </x:c>
      <x:c r="J254" s="30" t="n">
        <x:v>180000</x:v>
      </x:c>
      <x:c r="K254" s="30" t="n">
        <x:v>245000</x:v>
      </x:c>
      <x:c r="L254" s="28" t="str">
        <x:v>15-2051</x:v>
      </x:c>
      <x:c r="M254" s="28" t="str">
        <x:v>Data Scientists</x:v>
      </x:c>
      <x:c r="N254" s="31" t="str">
        <x:v>New York-Newark-Jersey City Data Scientists Level 1 is $101,338, Level 2 is $128,461, Level 3 is $155,605 and Level 4 is $182,728. The full range clears Level 3 and most of it clears Level 4.</x:v>
      </x:c>
      <x:c r="O254" s="31" t="str">
        <x:v>New York, NY</x:v>
      </x:c>
      <x:c r="P254" s="31"/>
      <x:c r="Q254" s="31" t="str">
        <x:v>Hybrid</x:v>
      </x:c>
      <x:c r="R254" s="31" t="str">
        <x:v>Not stated in the full posting.</x:v>
      </x:c>
      <x:c r="S254" s="31" t="str">
        <x:v>Low due to four-year ML experience requirement</x:v>
      </x:c>
      <x:c r="T254" s="31" t="str">
        <x:v>Python, SQL, evaluation, backend development and applied ML align, but the role requires 4+ years building and deploying consumer-scale ML models plus leadership and roadmap influence.</x:v>
      </x:c>
      <x:c r="U254" s="31" t="str">
        <x:v>Not submitted</x:v>
      </x:c>
      <x:c r="V254" s="31" t="str">
        <x:v>None</x:v>
      </x:c>
      <x:c r="W254" s="31" t="str">
        <x:v>Full LinkedIn description reviewed. The salary is excellent, but the explicit 4+ years of industry ML experience makes this unrealistic despite an existing Whatnot application relationship.</x:v>
      </x:c>
    </x:row>
    <x:row r="255">
      <x:c r="A255" s="28" t="str">
        <x:v>Sia Partners</x:v>
      </x:c>
      <x:c r="B255" s="28" t="str">
        <x:v>Forward Deployed Engineer</x:v>
      </x:c>
      <x:c r="C255" s="28" t="str">
        <x:v>https://www.linkedin.com/jobs/view/4463588369/</x:v>
      </x:c>
      <x:c r="D255" s="28" t="str">
        <x:v>https://www.sia-partners.com/en/career/forward-deployed-engineer-2</x:v>
      </x:c>
      <x:c r="E255" s="29" t="str">
        <x:v>LinkedIn posted 2026-09-08</x:v>
      </x:c>
      <x:c r="F255" s="29" t="str">
        <x:v>2026-09-08</x:v>
      </x:c>
      <x:c r="G255" s="29"/>
      <x:c r="H255" s="29"/>
      <x:c r="I255" s="28" t="str">
        <x:v>Halted</x:v>
      </x:c>
      <x:c r="J255" s="30" t="n">
        <x:v>130600</x:v>
      </x:c>
      <x:c r="K255" s="30" t="n">
        <x:v>147000</x:v>
      </x:c>
      <x:c r="L255" s="28" t="str">
        <x:v>15-1252</x:v>
      </x:c>
      <x:c r="M255" s="28" t="str">
        <x:v>Software Developers</x:v>
      </x:c>
      <x:c r="N255" s="31" t="str">
        <x:v>New York-Newark-Jersey City Software Developers Level 1 is $109,845 and Level 2 is $137,717. The full range clears Level 1 and offers from $137,717 clear Level 2.</x:v>
      </x:c>
      <x:c r="O255" s="31" t="str">
        <x:v>New York, NY</x:v>
      </x:c>
      <x:c r="P255" s="31" t="str">
        <x:v>Potential client assignments across several U.S. markets</x:v>
      </x:c>
      <x:c r="Q255" s="31" t="str">
        <x:v>Hybrid with client-site work</x:v>
      </x:c>
      <x:c r="R255" s="31" t="str">
        <x:v>The posting explicitly states that the position is not eligible for employment visa sponsorship now or in the future.</x:v>
      </x:c>
      <x:c r="S255" s="31" t="str">
        <x:v>Strong technical fit but sponsorship-ineligible</x:v>
      </x:c>
      <x:c r="T255" s="31" t="str">
        <x:v>LLMs, RAG, agent orchestration, Python, APIs and cloud deployment align closely, but the explicit no-sponsorship policy is disqualifying.</x:v>
      </x:c>
      <x:c r="U255" s="31" t="str">
        <x:v>Not submitted</x:v>
      </x:c>
      <x:c r="V255" s="31" t="str">
        <x:v>None</x:v>
      </x:c>
      <x:c r="W255" s="31" t="str">
        <x:v>Full LinkedIn description reviewed. Skipped solely because future sponsorship is explicitly unavailable.</x:v>
      </x:c>
    </x:row>
    <x:row r="256">
      <x:c r="A256" s="28" t="str">
        <x:v>Chewy</x:v>
      </x:c>
      <x:c r="B256" s="28" t="str">
        <x:v>Software Engineer II</x:v>
      </x:c>
      <x:c r="C256" s="28" t="str">
        <x:v>https://www.linkedin.com/jobs/view/4464935636/</x:v>
      </x:c>
      <x:c r="D256" s="28" t="str">
        <x:v>https://careers.chewy.com/us/en/job/CHINUSR30745EXTERNALENUS/Software-Engineer-II</x:v>
      </x:c>
      <x:c r="E256" s="29" t="str">
        <x:v>LinkedIn posted 2026-09-08</x:v>
      </x:c>
      <x:c r="F256" s="29" t="str">
        <x:v>2026-09-08</x:v>
      </x:c>
      <x:c r="G256" s="29"/>
      <x:c r="H256" s="29"/>
      <x:c r="I256" s="28" t="str">
        <x:v>Halted</x:v>
      </x:c>
      <x:c r="J256" s="30" t="n">
        <x:v>115000</x:v>
      </x:c>
      <x:c r="K256" s="30" t="n">
        <x:v>190000</x:v>
      </x:c>
      <x:c r="L256" s="28" t="str">
        <x:v>15-1252</x:v>
      </x:c>
      <x:c r="M256" s="28" t="str">
        <x:v>Software Developers</x:v>
      </x:c>
      <x:c r="N256" s="31" t="str">
        <x:v>The Bellevue/Seattle range spans values below and above local Level 1; the explicit four-year experience requirement is independently decisive.</x:v>
      </x:c>
      <x:c r="O256" s="31" t="str">
        <x:v>Bellevue, WA</x:v>
      </x:c>
      <x:c r="P256" s="31"/>
      <x:c r="Q256" s="31" t="str">
        <x:v>On-site</x:v>
      </x:c>
      <x:c r="R256" s="31" t="str">
        <x:v>Not stated in the full posting.</x:v>
      </x:c>
      <x:c r="S256" s="31" t="str">
        <x:v>Low due to mandatory experience</x:v>
      </x:c>
      <x:c r="T256" s="31" t="str">
        <x:v>React, Node.js, Python, AWS, CI/CD, observability and ML workflows align, but the position requires 4+ years of professional development experience and at least one year of front-end work.</x:v>
      </x:c>
      <x:c r="U256" s="31" t="str">
        <x:v>Not submitted</x:v>
      </x:c>
      <x:c r="V256" s="31" t="str">
        <x:v>None</x:v>
      </x:c>
      <x:c r="W256" s="31" t="str">
        <x:v>Full LinkedIn description reviewed. Skipped because the four-year professional experience floor is unrealistic.</x:v>
      </x:c>
    </x:row>
    <x:row r="257">
      <x:c r="A257" s="28" t="str">
        <x:v>Amazon Web Services (AWS)</x:v>
      </x:c>
      <x:c r="B257" s="28" t="str">
        <x:v>Software Dev Engineer, Amazon Connect</x:v>
      </x:c>
      <x:c r="C257" s="28" t="str">
        <x:v>https://www.linkedin.com/jobs/view/4464909995/</x:v>
      </x:c>
      <x:c r="D257" s="28" t="str">
        <x:v>https://www.amazon.jobs/jobs/10532316/software-dev-engineer-amazon-connect</x:v>
      </x:c>
      <x:c r="E257" s="29" t="str">
        <x:v>LinkedIn posted 2026-09-08</x:v>
      </x:c>
      <x:c r="F257" s="29" t="str">
        <x:v>2026-09-08</x:v>
      </x:c>
      <x:c r="G257" s="29"/>
      <x:c r="H257" s="29"/>
      <x:c r="I257" s="28" t="str">
        <x:v>Halted</x:v>
      </x:c>
      <x:c r="J257" s="30" t="n">
        <x:v>143700</x:v>
      </x:c>
      <x:c r="K257" s="30" t="n">
        <x:v>194400</x:v>
      </x:c>
      <x:c r="L257" s="28" t="str">
        <x:v>15-1252</x:v>
      </x:c>
      <x:c r="M257" s="28" t="str">
        <x:v>Software Developers</x:v>
      </x:c>
      <x:c r="N257" s="31" t="str">
        <x:v>The Seattle range is competitive and clears the local entry wage threshold, but the role is not entry-level and the experience requirement is independently decisive.</x:v>
      </x:c>
      <x:c r="O257" s="31" t="str">
        <x:v>Seattle, WA</x:v>
      </x:c>
      <x:c r="P257" s="31"/>
      <x:c r="Q257" s="31" t="str">
        <x:v>On-site</x:v>
      </x:c>
      <x:c r="R257" s="31" t="str">
        <x:v>Not explicitly restricted in the posting; Amazon has substantial historical sponsorship activity.</x:v>
      </x:c>
      <x:c r="S257" s="31" t="str">
        <x:v>Low due to mandatory non-internship experience</x:v>
      </x:c>
      <x:c r="T257" s="31" t="str">
        <x:v>AWS, distributed systems, web services, AI/ML and end-to-end ownership align, but the role requires 3+ years of non-internship development and 2+ years of non-internship system design or architecture.</x:v>
      </x:c>
      <x:c r="U257" s="31" t="str">
        <x:v>Not submitted</x:v>
      </x:c>
      <x:c r="V257" s="31" t="str">
        <x:v>None</x:v>
      </x:c>
      <x:c r="W257" s="31" t="str">
        <x:v>Full LinkedIn description reviewed. Skipped because internships and research do not satisfy the explicit non-internship experience floor.</x:v>
      </x:c>
    </x:row>
    <x:row r="258">
      <x:c r="A258" s="28" t="str">
        <x:v>Amazon (A9.com LLC)</x:v>
      </x:c>
      <x:c r="B258" s="28" t="str">
        <x:v>Machine Learning Engineer, Amazon Ads Identity</x:v>
      </x:c>
      <x:c r="C258" s="28" t="str">
        <x:v>https://www.linkedin.com/jobs/view/4464912711/</x:v>
      </x:c>
      <x:c r="D258" s="28" t="str">
        <x:v>https://www.amazon.jobs/jobs/10532410/machine-learning-engineer-amazon-ads-identity</x:v>
      </x:c>
      <x:c r="E258" s="29" t="str">
        <x:v>LinkedIn posted 2026-09-08</x:v>
      </x:c>
      <x:c r="F258" s="29" t="str">
        <x:v>2026-09-08</x:v>
      </x:c>
      <x:c r="G258" s="29"/>
      <x:c r="H258" s="29"/>
      <x:c r="I258" s="28" t="str">
        <x:v>Halted</x:v>
      </x:c>
      <x:c r="J258" s="30" t="n">
        <x:v>158100</x:v>
      </x:c>
      <x:c r="K258" s="30" t="n">
        <x:v>223600</x:v>
      </x:c>
      <x:c r="L258" s="28" t="str">
        <x:v>15-2051</x:v>
      </x:c>
      <x:c r="M258" s="28" t="str">
        <x:v>Data Scientists</x:v>
      </x:c>
      <x:c r="N258" s="31" t="str">
        <x:v>The New York range is $158,100-$213,800 and the Palo Alto range is $165,200-$223,600; both comfortably clear local Level 1. The experience mismatch is independently decisive.</x:v>
      </x:c>
      <x:c r="O258" s="31" t="str">
        <x:v>New York, NY</x:v>
      </x:c>
      <x:c r="P258" s="31" t="str">
        <x:v>Palo Alto, CA</x:v>
      </x:c>
      <x:c r="Q258" s="31" t="str">
        <x:v>On-site</x:v>
      </x:c>
      <x:c r="R258" s="31" t="str">
        <x:v>Not explicitly restricted in the posting; Amazon/A9 has substantial historical sponsorship activity.</x:v>
      </x:c>
      <x:c r="S258" s="31" t="str">
        <x:v>Low due to mandatory non-internship experience</x:v>
      </x:c>
      <x:c r="T258" s="31" t="str">
        <x:v>ML pipelines, distributed systems, model infrastructure, Python/Java and production ownership align, but the role requires 3+ years of non-internship software development plus 2+ years of architecture and one year of large-scale systems work.</x:v>
      </x:c>
      <x:c r="U258" s="31" t="str">
        <x:v>Not submitted</x:v>
      </x:c>
      <x:c r="V258" s="31" t="str">
        <x:v>None</x:v>
      </x:c>
      <x:c r="W258" s="31" t="str">
        <x:v>Full LinkedIn description reviewed. Skipped because the explicit non-internship experience requirements materially exceed the current profile.</x:v>
      </x:c>
    </x:row>
    <x:row r="259">
      <x:c r="A259" s="28" t="str">
        <x:v>Amazon</x:v>
      </x:c>
      <x:c r="B259" s="28" t="str">
        <x:v>Software Development Engineer, CreativeX</x:v>
      </x:c>
      <x:c r="C259" s="28" t="str">
        <x:v>https://www.linkedin.com/jobs/view/4464921418/</x:v>
      </x:c>
      <x:c r="D259" s="28" t="str">
        <x:v>https://www.amazon.jobs/jobs/10532554/software-development-engineer-creativex</x:v>
      </x:c>
      <x:c r="E259" s="29" t="str">
        <x:v>LinkedIn posted 2026-09-08</x:v>
      </x:c>
      <x:c r="F259" s="29" t="str">
        <x:v>2026-09-08</x:v>
      </x:c>
      <x:c r="G259" s="29"/>
      <x:c r="H259" s="29"/>
      <x:c r="I259" s="28" t="str">
        <x:v>Halted</x:v>
      </x:c>
      <x:c r="J259" s="30" t="n">
        <x:v>158100</x:v>
      </x:c>
      <x:c r="K259" s="30" t="n">
        <x:v>213800</x:v>
      </x:c>
      <x:c r="L259" s="28" t="str">
        <x:v>15-1252</x:v>
      </x:c>
      <x:c r="M259" s="28" t="str">
        <x:v>Software Developers</x:v>
      </x:c>
      <x:c r="N259" s="31" t="str">
        <x:v>The New York range comfortably clears local Level 1 and Level 2. The explicit senior experience requirements are independently decisive.</x:v>
      </x:c>
      <x:c r="O259" s="31" t="str">
        <x:v>New York, NY</x:v>
      </x:c>
      <x:c r="P259" s="31"/>
      <x:c r="Q259" s="31" t="str">
        <x:v>On-site</x:v>
      </x:c>
      <x:c r="R259" s="31" t="str">
        <x:v>Not explicitly restricted; Amazon has substantial sponsorship history.</x:v>
      </x:c>
      <x:c r="S259" s="31" t="str">
        <x:v>Low due to mandatory experience</x:v>
      </x:c>
      <x:c r="T259" s="31" t="str">
        <x:v>Full-stack ownership and scalable systems align, but the role requires 3+ years of full SDLC, 2+ years of non-internship architecture, and one year of large-scale Java/C++/C# or Perl systems.</x:v>
      </x:c>
      <x:c r="U259" s="31" t="str">
        <x:v>Not submitted</x:v>
      </x:c>
      <x:c r="V259" s="31" t="str">
        <x:v>None</x:v>
      </x:c>
      <x:c r="W259" s="31" t="str">
        <x:v>Full LinkedIn description reviewed. Skipped because the mandatory experience floor materially exceeds the current profile.</x:v>
      </x:c>
    </x:row>
    <x:row r="260">
      <x:c r="A260" s="28" t="str">
        <x:v>Bright Vision Technologies</x:v>
      </x:c>
      <x:c r="B260" s="28" t="str">
        <x:v>Python Solutions Engineer</x:v>
      </x:c>
      <x:c r="C260" s="28" t="str">
        <x:v>https://www.linkedin.com/jobs/view/4464936458/</x:v>
      </x:c>
      <x:c r="D260" s="28" t="str">
        <x:v>https://brightvisiontechnologies.applytojob.com/apply/rtohS8F7Ms/Python-Solutions-Engineer</x:v>
      </x:c>
      <x:c r="E260" s="29" t="str">
        <x:v>LinkedIn posted 2026-09-08</x:v>
      </x:c>
      <x:c r="F260" s="29" t="str">
        <x:v>2026-09-08</x:v>
      </x:c>
      <x:c r="G260" s="29"/>
      <x:c r="H260" s="29"/>
      <x:c r="I260" s="28" t="str">
        <x:v>Halted</x:v>
      </x:c>
      <x:c r="J260" s="30" t="n">
        <x:v>130000</x:v>
      </x:c>
      <x:c r="K260" s="30" t="n">
        <x:v>150000</x:v>
      </x:c>
      <x:c r="L260" s="28" t="str">
        <x:v>15-1252</x:v>
      </x:c>
      <x:c r="M260" s="28" t="str">
        <x:v>Software Developers</x:v>
      </x:c>
      <x:c r="N260" s="31" t="str">
        <x:v>The remote worksite is not fixed, so a defensible location-specific wage comparison is unavailable. The six-year experience requirement is independently decisive.</x:v>
      </x:c>
      <x:c r="O260" s="31" t="str">
        <x:v>Remote U.S.</x:v>
      </x:c>
      <x:c r="P260" s="31"/>
      <x:c r="Q260" s="31" t="str">
        <x:v>Remote, direct W-2</x:v>
      </x:c>
      <x:c r="R260" s="31" t="str">
        <x:v>EAD and H-1B transfer candidates are accepted, but the employer explicitly cannot sponsor a new H-1B petition.</x:v>
      </x:c>
      <x:c r="S260" s="31" t="str">
        <x:v>Incompatible seniority and future sponsorship</x:v>
      </x:c>
      <x:c r="T260" s="31" t="str">
        <x:v>Python, PostgreSQL, AWS and data/ML systems align, but the posting requires 6+ years and cannot sponsor a new H-1B.</x:v>
      </x:c>
      <x:c r="U260" s="31" t="str">
        <x:v>Not submitted</x:v>
      </x:c>
      <x:c r="V260" s="31" t="str">
        <x:v>None</x:v>
      </x:c>
      <x:c r="W260" s="31" t="str">
        <x:v>Full LinkedIn description reviewed. Skipped because it requires 6+ years and does not support a first H-1B petition.</x:v>
      </x:c>
    </x:row>
    <x:row r="261">
      <x:c r="A261" s="28" t="str">
        <x:v>PREDICTION</x:v>
      </x:c>
      <x:c r="B261" s="28" t="str">
        <x:v>Founding AI Research Engineer</x:v>
      </x:c>
      <x:c r="C261" s="28" t="str">
        <x:v>https://www.linkedin.com/jobs/view/4462555946/</x:v>
      </x:c>
      <x:c r="D261" s="28" t="str">
        <x:v>https://www.linkedin.com/jobs/view/4462555946/apply/?openSDUIApplyFlow=true</x:v>
      </x:c>
      <x:c r="E261" s="29" t="str">
        <x:v>LinkedIn posted 2026-09-08</x:v>
      </x:c>
      <x:c r="F261" s="29" t="str">
        <x:v>2026-09-08</x:v>
      </x:c>
      <x:c r="G261" s="29"/>
      <x:c r="H261" s="29"/>
      <x:c r="I261" s="28" t="str">
        <x:v>Halted</x:v>
      </x:c>
      <x:c r="J261" s="30"/>
      <x:c r="K261" s="30"/>
      <x:c r="L261" s="28" t="str">
        <x:v>15-2051</x:v>
      </x:c>
      <x:c r="M261" s="28" t="str">
        <x:v>Data Scientists</x:v>
      </x:c>
      <x:c r="N261" s="31" t="str">
        <x:v>No salary was disclosed. Wage analysis is unnecessary because U.S. citizenship and security-clearance eligibility are explicit requirements.</x:v>
      </x:c>
      <x:c r="O261" s="31" t="str">
        <x:v>New York, NY</x:v>
      </x:c>
      <x:c r="P261" s="31"/>
      <x:c r="Q261" s="31" t="str">
        <x:v>Remote listing</x:v>
      </x:c>
      <x:c r="R261" s="31" t="str">
        <x:v>U.S. citizenship is required and candidates must be eligible for a U.S. government security clearance.</x:v>
      </x:c>
      <x:c r="S261" s="31" t="str">
        <x:v>Ineligible due to citizenship requirement</x:v>
      </x:c>
      <x:c r="T261" s="31" t="str">
        <x:v>Agentic AI and evaluation overlap, but the national-security position explicitly requires U.S. citizenship and clearance eligibility.</x:v>
      </x:c>
      <x:c r="U261" s="31" t="str">
        <x:v>Not submitted</x:v>
      </x:c>
      <x:c r="V261" s="31" t="str">
        <x:v>None</x:v>
      </x:c>
      <x:c r="W261" s="31" t="str">
        <x:v>Full LinkedIn description reviewed. Skipped due to the explicit citizenship and security-clearance requirements.</x:v>
      </x:c>
    </x:row>
    <x:row r="262">
      <x:c r="A262" s="28" t="str">
        <x:v>Amazon (Leo/Kuiper)</x:v>
      </x:c>
      <x:c r="B262" s="28" t="str">
        <x:v>Software Development Engineer, Leo Commerce</x:v>
      </x:c>
      <x:c r="C262" s="28" t="str">
        <x:v>https://www.linkedin.com/jobs/view/4464922413/</x:v>
      </x:c>
      <x:c r="D262" s="28" t="str">
        <x:v>https://www.amazon.jobs/jobs/10532091/software-development-engineer-leo-commerce</x:v>
      </x:c>
      <x:c r="E262" s="29" t="str">
        <x:v>LinkedIn posted 2026-09-08</x:v>
      </x:c>
      <x:c r="F262" s="29" t="str">
        <x:v>2026-09-08</x:v>
      </x:c>
      <x:c r="G262" s="29"/>
      <x:c r="H262" s="29"/>
      <x:c r="I262" s="28" t="str">
        <x:v>Halted</x:v>
      </x:c>
      <x:c r="J262" s="30" t="n">
        <x:v>143700</x:v>
      </x:c>
      <x:c r="K262" s="30" t="n">
        <x:v>194400</x:v>
      </x:c>
      <x:c r="L262" s="28" t="str">
        <x:v>15-1252</x:v>
      </x:c>
      <x:c r="M262" s="28" t="str">
        <x:v>Software Developers</x:v>
      </x:c>
      <x:c r="N262" s="31" t="str">
        <x:v>The Redmond range is competitive, but wage compatibility is secondary because export-control eligibility and non-internship experience requirements are disqualifying.</x:v>
      </x:c>
      <x:c r="O262" s="31" t="str">
        <x:v>Redmond, WA</x:v>
      </x:c>
      <x:c r="P262" s="31"/>
      <x:c r="Q262" s="31" t="str">
        <x:v>On-site</x:v>
      </x:c>
      <x:c r="R262" s="31" t="str">
        <x:v>Candidates must be U.S. citizens or nationals, permanent residents, refugees or asylees under the stated export-control requirement.</x:v>
      </x:c>
      <x:c r="S262" s="31" t="str">
        <x:v>Ineligible due to export control and experience</x:v>
      </x:c>
      <x:c r="T262" s="31" t="str">
        <x:v>AWS, CI/CD, automation and Java align, but the posting requires protected U.S.-person status plus 3+ years of non-internship development and 2+ years of architecture.</x:v>
      </x:c>
      <x:c r="U262" s="31" t="str">
        <x:v>Not submitted</x:v>
      </x:c>
      <x:c r="V262" s="31" t="str">
        <x:v>None</x:v>
      </x:c>
      <x:c r="W262" s="31" t="str">
        <x:v>Full LinkedIn description reviewed. Skipped due to the explicit export-control restriction and senior experience floor.</x:v>
      </x:c>
    </x:row>
    <x:row r="263">
      <x:c r="A263" s="28" t="str">
        <x:v>Deloitte</x:v>
      </x:c>
      <x:c r="B263" s="28" t="str">
        <x:v>Agentic AI Engineer - Anthropic/Claude (AI and Data Science Engineer II)</x:v>
      </x:c>
      <x:c r="C263" s="28" t="str">
        <x:v>https://www.linkedin.com/jobs/view/4464911840/</x:v>
      </x:c>
      <x:c r="D263" s="28" t="str">
        <x:v>Not captured; halted before application</x:v>
      </x:c>
      <x:c r="E263" s="29" t="str">
        <x:v>LinkedIn posted 2026-09-08</x:v>
      </x:c>
      <x:c r="F263" s="29" t="str">
        <x:v>2026-09-08</x:v>
      </x:c>
      <x:c r="G263" s="29"/>
      <x:c r="H263" s="29"/>
      <x:c r="I263" s="28" t="str">
        <x:v>Halted</x:v>
      </x:c>
      <x:c r="J263" s="30" t="n">
        <x:v>91100</x:v>
      </x:c>
      <x:c r="K263" s="30" t="n">
        <x:v>179500</x:v>
      </x:c>
      <x:c r="L263" s="28" t="str">
        <x:v>15-2051</x:v>
      </x:c>
      <x:c r="M263" s="28" t="str">
        <x:v>Data Scientists</x:v>
      </x:c>
      <x:c r="N263" s="31" t="str">
        <x:v>The published national estimate is $91,100-$179,500 and the listing spans multiple potential worksites. A final location-specific Level 1 comparison would require the selected office, but experience requirements independently make this role unrealistic.</x:v>
      </x:c>
      <x:c r="O263" s="31" t="str">
        <x:v>Not selected; multi-location consulting role</x:v>
      </x:c>
      <x:c r="P263" s="31"/>
      <x:c r="Q263" s="31" t="str">
        <x:v>Hybrid/client-facing; up to 50% travel</x:v>
      </x:c>
      <x:c r="R263" s="31" t="str">
        <x:v>Potentially compatible: listing states limited immigration sponsorship may be available.</x:v>
      </x:c>
      <x:c r="S263" s="31" t="str">
        <x:v>Strong domain overlap; experience-level mismatch</x:v>
      </x:c>
      <x:c r="T263" s="31" t="str">
        <x:v>Agent orchestration, MCP, RAG, evaluation, Python and cloud align with the candidate, but the role requires 3+ years delivering AI/ML solutions, Claude Agent SDK production experience, direct Anthropic API deployment and 1+ years leading workstreams.</x:v>
      </x:c>
      <x:c r="U263" s="31" t="str">
        <x:v>Not used; existing AI-agents resume would be the closest match</x:v>
      </x:c>
      <x:c r="V263" s="31" t="str">
        <x:v>None</x:v>
      </x:c>
      <x:c r="W263" s="31" t="str">
        <x:v>Halted after full description review because multiple explicit experience requirements are not met. No application was started and no data was transmitted.</x:v>
      </x:c>
    </x:row>
    <x:row r="264">
      <x:c r="A264" s="28" t="str">
        <x:v>Travelers</x:v>
      </x:c>
      <x:c r="B264" s="28" t="str">
        <x:v>Software Engineer I (JavaScript, TypeScript, AWS, React, Node.js)</x:v>
      </x:c>
      <x:c r="C264" s="28" t="str">
        <x:v>https://www.linkedin.com/jobs/view/4463567452/</x:v>
      </x:c>
      <x:c r="D264" s="28" t="str">
        <x:v>Not captured; halted before application</x:v>
      </x:c>
      <x:c r="E264" s="29" t="str">
        <x:v>LinkedIn posted 2026-09-08</x:v>
      </x:c>
      <x:c r="F264" s="29" t="str">
        <x:v>2026-09-08</x:v>
      </x:c>
      <x:c r="G264" s="29"/>
      <x:c r="H264" s="29"/>
      <x:c r="I264" s="28" t="str">
        <x:v>Halted</x:v>
      </x:c>
      <x:c r="J264" s="30" t="n">
        <x:v>99100</x:v>
      </x:c>
      <x:c r="K264" s="30" t="n">
        <x:v>163400</x:v>
      </x:c>
      <x:c r="L264" s="28" t="str">
        <x:v>15-1252</x:v>
      </x:c>
      <x:c r="M264" s="28" t="str">
        <x:v>Software Developers</x:v>
      </x:c>
      <x:c r="N264" s="31" t="str">
        <x:v>The nationwide range overlaps many Level 1 benchmarks, but the immigration restriction is decisive and the posting also asks for two additional years of software engineering experience.</x:v>
      </x:c>
      <x:c r="O264" s="31" t="str">
        <x:v>Baltimore, MD</x:v>
      </x:c>
      <x:c r="P264" s="31"/>
      <x:c r="Q264" s="31" t="str">
        <x:v>Hybrid; full-time</x:v>
      </x:c>
      <x:c r="R264" s="31" t="str">
        <x:v>Incompatible: Travelers explicitly states it does not sponsor/support H-1B petitions, TN, or Forms I-983/STEM OPT for this role.</x:v>
      </x:c>
      <x:c r="S264" s="31" t="str">
        <x:v>Strong stack match; immigration-incompatible</x:v>
      </x:c>
      <x:c r="T264" s="31" t="str">
        <x:v>TypeScript, React, Node.js, AWS and CI/CD align well, but the role cannot support STEM OPT or future H-1B and asks for additional professional experience.</x:v>
      </x:c>
      <x:c r="U264" s="31" t="str">
        <x:v>Not used</x:v>
      </x:c>
      <x:c r="V264" s="31" t="str">
        <x:v>None</x:v>
      </x:c>
      <x:c r="W264" s="31" t="str">
        <x:v>Halted after full description review because the posting explicitly excludes STEM OPT support and H-1B sponsorship. No application was started.</x:v>
      </x:c>
    </x:row>
    <x:row r="265">
      <x:c r="A265" s="28" t="str">
        <x:v>Trellis</x:v>
      </x:c>
      <x:c r="B265" s="28" t="str">
        <x:v>Software Engineer I</x:v>
      </x:c>
      <x:c r="C265" s="28" t="str">
        <x:v>https://www.linkedin.com/jobs/view/4464900562/</x:v>
      </x:c>
      <x:c r="D265" s="28" t="str">
        <x:v>https://workforcenow.adp.com/mascsr/default/mdf/recruitment/recruitment.html?cid=91f06c3c-175d-4277-bfe1-94882447fb1e&amp;ccId=19000101_000001&amp;lang=en_US&amp;jobId=613996&amp;source=LI</x:v>
      </x:c>
      <x:c r="E265" s="29" t="str">
        <x:v>LinkedIn posted 2026-09-08</x:v>
      </x:c>
      <x:c r="F265" s="29" t="str">
        <x:v>2026-09-08</x:v>
      </x:c>
      <x:c r="G265" s="29"/>
      <x:c r="H265" s="29"/>
      <x:c r="I265" s="28" t="str">
        <x:v>Halted</x:v>
      </x:c>
      <x:c r="J265" s="30" t="n">
        <x:v>50600</x:v>
      </x:c>
      <x:c r="K265" s="30" t="n">
        <x:v>67500</x:v>
      </x:c>
      <x:c r="L265" s="28" t="str">
        <x:v>15-1252</x:v>
      </x:c>
      <x:c r="M265" s="28" t="str">
        <x:v>Software Developers</x:v>
      </x:c>
      <x:c r="N265" s="31" t="str">
        <x:v>The published $50,600-$67,500 range is below the applicable entry-level Software Developers wage benchmark for the Austin-Round Rock area, so it fails the user’s minimum salary rule.</x:v>
      </x:c>
      <x:c r="O265" s="31" t="str">
        <x:v>Round Rock, TX</x:v>
      </x:c>
      <x:c r="P265" s="31"/>
      <x:c r="Q265" s="31" t="str">
        <x:v>On-site; full-time</x:v>
      </x:c>
      <x:c r="R265" s="31" t="str">
        <x:v>Not disclosed in the LinkedIn description.</x:v>
      </x:c>
      <x:c r="S265" s="31" t="str">
        <x:v>Exceptional technical and level fit; wage-incompatible</x:v>
      </x:c>
      <x:c r="T265" s="31" t="str">
        <x:v>The role explicitly accepts one year from internships and projects and closely matches Python, Java, AI/ML, LLMs, React, Node.js, SQL, REST, Docker, Kubernetes, cloud and AI-agent workflow experience.</x:v>
      </x:c>
      <x:c r="U265" s="31" t="str">
        <x:v>Not used; existing AI-agents resume would be suitable</x:v>
      </x:c>
      <x:c r="V265" s="31" t="str">
        <x:v>None</x:v>
      </x:c>
      <x:c r="W265" s="31" t="str">
        <x:v>Halted after full description and application-URL review because the entire published salary range is below the user’s Level 1 wage floor. No application was started.</x:v>
      </x:c>
    </x:row>
    <x:row r="266">
      <x:c r="A266" s="28" t="str">
        <x:v>True Anomaly</x:v>
      </x:c>
      <x:c r="B266" s="28" t="str">
        <x:v>Software Engineer I, Elixir (New Grad)</x:v>
      </x:c>
      <x:c r="C266" s="28" t="str">
        <x:v>https://www.linkedin.com/jobs/view/4462558916/</x:v>
      </x:c>
      <x:c r="D266" s="28" t="str">
        <x:v>Not captured; halted before application</x:v>
      </x:c>
      <x:c r="E266" s="29" t="str">
        <x:v>LinkedIn posted 2026-09-08</x:v>
      </x:c>
      <x:c r="F266" s="29" t="str">
        <x:v>2026-09-08</x:v>
      </x:c>
      <x:c r="G266" s="29"/>
      <x:c r="H266" s="29"/>
      <x:c r="I266" s="28" t="str">
        <x:v>Halted</x:v>
      </x:c>
      <x:c r="J266" s="30" t="n">
        <x:v>80000</x:v>
      </x:c>
      <x:c r="K266" s="30" t="n">
        <x:v>80000</x:v>
      </x:c>
      <x:c r="L266" s="28" t="str">
        <x:v>15-1252</x:v>
      </x:c>
      <x:c r="M266" s="28" t="str">
        <x:v>Software Developers</x:v>
      </x:c>
      <x:c r="N266" s="31" t="str">
        <x:v>Long Beach base pay is $80,000, below the local Software Developers Level 1 benchmark. Immigration restrictions independently disqualify the role.</x:v>
      </x:c>
      <x:c r="O266" s="31" t="str">
        <x:v>Long Beach, CA</x:v>
      </x:c>
      <x:c r="P266" s="31" t="str">
        <x:v>Denver or Colorado Springs, CO</x:v>
      </x:c>
      <x:c r="Q266" s="31" t="str">
        <x:v>Hybrid/on-site</x:v>
      </x:c>
      <x:c r="R266" s="31" t="str">
        <x:v>Incompatible: U.S. citizenship and eligibility for DoD Secret or TS/SCI clearance are explicit qualifications; ITAR restrictions also apply.</x:v>
      </x:c>
      <x:c r="S266" s="31" t="str">
        <x:v>Entry-level fit; citizenship and wage incompatible</x:v>
      </x:c>
      <x:c r="T266" s="31" t="str">
        <x:v>The 0-2 year level, PostgreSQL, distributed systems and monitoring are reasonable matches, but Elixir is a gap and the citizenship/clearance requirement is absolute.</x:v>
      </x:c>
      <x:c r="U266" s="31" t="str">
        <x:v>Not used</x:v>
      </x:c>
      <x:c r="V266" s="31" t="str">
        <x:v>None</x:v>
      </x:c>
      <x:c r="W266" s="31" t="str">
        <x:v>Halted after full description review because the candidate is not a U.S. citizen and cannot obtain the required clearance. No application was started.</x:v>
      </x:c>
    </x:row>
    <x:row r="267">
      <x:c r="A267" s="28" t="str">
        <x:v>Audible</x:v>
      </x:c>
      <x:c r="B267" s="28" t="str">
        <x:v>Software Development Engineer, Early Careers</x:v>
      </x:c>
      <x:c r="C267" s="28" t="str">
        <x:v>https://www.linkedin.com/jobs/view/4463675072/</x:v>
      </x:c>
      <x:c r="D267" s="28" t="str">
        <x:v>https://www.amazon.jobs/applicant/jobs/10529830/apply</x:v>
      </x:c>
      <x:c r="E267" s="29" t="str">
        <x:v>LinkedIn posted 2026-09-04</x:v>
      </x:c>
      <x:c r="F267" s="29" t="str">
        <x:v>2026-09-08</x:v>
      </x:c>
      <x:c r="G267" s="29" t="str">
        <x:v>2026-09-08</x:v>
      </x:c>
      <x:c r="H267" s="29"/>
      <x:c r="I267" s="28" t="str">
        <x:v>Submitted</x:v>
      </x:c>
      <x:c r="J267" s="30" t="n">
        <x:v>129000</x:v>
      </x:c>
      <x:c r="K267" s="30" t="n">
        <x:v>129000</x:v>
      </x:c>
      <x:c r="L267" s="28" t="str">
        <x:v>15-1252</x:v>
      </x:c>
      <x:c r="M267" s="28" t="str">
        <x:v>Software Developers</x:v>
      </x:c>
      <x:c r="N267" s="31" t="str">
        <x:v>Cambridge starting base pay is $129,000. The Boston-Cambridge-Newton Software Developers Level 1 benchmark in the wage spreadsheet is below this amount, so the role clears the Level 1 floor.</x:v>
      </x:c>
      <x:c r="O267" s="31" t="str">
        <x:v>Cambridge, MA</x:v>
      </x:c>
      <x:c r="P267" s="31" t="str">
        <x:v>Newark, NJ ($141,900)</x:v>
      </x:c>
      <x:c r="Q267" s="31" t="str">
        <x:v>On-site; full-time</x:v>
      </x:c>
      <x:c r="R267" s="31" t="str">
        <x:v>Potentially compatible: the application explicitly says Amazon provides immigration support and sponsorship where the candidate and role are eligible; sponsorship need was answered Yes.</x:v>
      </x:c>
      <x:c r="S267" s="31" t="str">
        <x:v>Exceptional early-career fit</x:v>
      </x:c>
      <x:c r="T267" s="31" t="str">
        <x:v>Python/TypeScript, data structures, object-oriented design, internships, AWS, SQL/NoSQL, version control, debugging and SDLC match the stated basic and preferred qualifications.</x:v>
      </x:c>
      <x:c r="U267" s="31" t="str">
        <x:v>Yuxuan_Chen_Resume_Salesforce_Software_Engineering_AMTS_20260907.pdf uploaded successfully</x:v>
      </x:c>
      <x:c r="V267" s="31" t="str">
        <x:v>None. Amazon confirmed successful OA submission on 2026-09-14 at 12:35 PM ET; results are under evaluation.</x:v>
      </x:c>
      <x:c r="W267" s="31" t="str">
        <x:v>Submitted successfully through Amazon Jobs on 2026-09-08. OA invitation received at 11:22 PM ET the same day. Amazon confirmed on 2026-09-14 at 12:35 PM ET that the assessment was successfully submitted and will be evaluated, with the recruiting team to follow up regarding next steps. This update is attributed to the Audible Early Careers application because it was the only outstanding Amazon OA recorded in the tracker.</x:v>
      </x:c>
    </x:row>
    <x:row r="268">
      <x:c r="A268" s="28" t="str">
        <x:v>NetApp</x:v>
      </x:c>
      <x:c r="B268" s="28" t="str">
        <x:v>NetApp Emerging Talent - Software Engineer (Systems)</x:v>
      </x:c>
      <x:c r="C268" s="28" t="str">
        <x:v>https://www.linkedin.com/jobs/view/4462560988/</x:v>
      </x:c>
      <x:c r="D268" s="28" t="str">
        <x:v>Not captured; halted before application</x:v>
      </x:c>
      <x:c r="E268" s="29" t="str">
        <x:v>LinkedIn reposted 2026-09-08</x:v>
      </x:c>
      <x:c r="F268" s="29" t="str">
        <x:v>2026-09-08</x:v>
      </x:c>
      <x:c r="G268" s="29"/>
      <x:c r="H268" s="29"/>
      <x:c r="I268" s="28" t="str">
        <x:v>Halted</x:v>
      </x:c>
      <x:c r="J268" s="30" t="n">
        <x:v>113050</x:v>
      </x:c>
      <x:c r="K268" s="30" t="n">
        <x:v>168300</x:v>
      </x:c>
      <x:c r="L268" s="28" t="str">
        <x:v>15-1252</x:v>
      </x:c>
      <x:c r="M268" s="28" t="str">
        <x:v>Software Developers</x:v>
      </x:c>
      <x:c r="N268" s="31" t="str">
        <x:v>The San Jose range starts below the spreadsheet Level 1 benchmark of $152,797 but its upper portion exceeds Level 1. The role is nevertheless stale/closed by its own timeline and requires hands-on C/C++ system programming.</x:v>
      </x:c>
      <x:c r="O268" s="31" t="str">
        <x:v>San Jose, CA</x:v>
      </x:c>
      <x:c r="P268" s="31"/>
      <x:c r="Q268" s="31" t="str">
        <x:v>Hybrid; full-time</x:v>
      </x:c>
      <x:c r="R268" s="31" t="str">
        <x:v>Not disclosed in the posting.</x:v>
      </x:c>
      <x:c r="S268" s="31" t="str">
        <x:v>Partial fit; stale posting and systems-language gap</x:v>
      </x:c>
      <x:c r="T268" s="31" t="str">
        <x:v>Master’s-degree eligibility, distributed systems, Linux and debugging align partially, but hands-on C/C++, OS internals and multithreaded system programming are explicit requirements not demonstrated by the resume.</x:v>
      </x:c>
      <x:c r="U268" s="31" t="str">
        <x:v>Not used</x:v>
      </x:c>
      <x:c r="V268" s="31" t="str">
        <x:v>None</x:v>
      </x:c>
      <x:c r="W268" s="31" t="str">
        <x:v>Halted after full description review. The posting states applications closed in early July 2026 despite being reposted in September, and its required C/C++ systems specialization is not a realistic match.</x:v>
      </x:c>
    </x:row>
    <x:row r="269">
      <x:c r="A269" s="28" t="str">
        <x:v>NVIDIA</x:v>
      </x:c>
      <x:c r="B269" s="28" t="str">
        <x:v>Applied Systems Engineering Rotation Engineer - New College Graduate 2026</x:v>
      </x:c>
      <x:c r="C269" s="28" t="str">
        <x:v>https://www.linkedin.com/jobs/view/4461364249/</x:v>
      </x:c>
      <x:c r="D269" s="28" t="str">
        <x:v>https://nvidia.wd5.myworkdayjobs.com/NVIDIAExternalCareerSite/job/US-CA-Santa-Clara/Applied-Systems-Engineering-Rotation-Engineer---New-College-Graduate-2026_JR2024713</x:v>
      </x:c>
      <x:c r="E269" s="29" t="str">
        <x:v>Official site posted 2026-09-01</x:v>
      </x:c>
      <x:c r="F269" s="29" t="str">
        <x:v>2026-09-08</x:v>
      </x:c>
      <x:c r="G269" s="29" t="str">
        <x:v>2026-09-08</x:v>
      </x:c>
      <x:c r="H269" s="29"/>
      <x:c r="I269" s="28" t="str">
        <x:v>Submitted</x:v>
      </x:c>
      <x:c r="J269" s="30" t="n">
        <x:v>108000</x:v>
      </x:c>
      <x:c r="K269" s="30" t="n">
        <x:v>178250</x:v>
      </x:c>
      <x:c r="L269" s="28" t="str">
        <x:v>15-1244</x:v>
      </x:c>
      <x:c r="M269" s="28" t="str">
        <x:v>Network and Computer Systems Administrators</x:v>
      </x:c>
      <x:c r="N269" s="31" t="str">
        <x:v>The published Level 1 range is $108,000-$178,250. For Santa Clara, the lower portion is below the high local H-1B benchmark, but the upper portion is viable; final offered wage and occupational classification would determine compatibility.</x:v>
      </x:c>
      <x:c r="O269" s="31" t="str">
        <x:v>Santa Clara, CA</x:v>
      </x:c>
      <x:c r="P269" s="31"/>
      <x:c r="Q269" s="31" t="str">
        <x:v>On-site; full-time 12-month rotation program</x:v>
      </x:c>
      <x:c r="R269" s="31" t="str">
        <x:v>Potentially compatible: NVIDIA asks whether employer support is needed and does not state an exclusion; legally authorized was answered Yes and employer support Yes.</x:v>
      </x:c>
      <x:c r="S269" s="31" t="str">
        <x:v>Exceptional new-college-graduate systems/AI infrastructure fit</x:v>
      </x:c>
      <x:c r="T269" s="31" t="str">
        <x:v>Python, Linux, cloud GPU environments, distributed workloads, telemetry, performance analysis, debugging, automation, Docker, Kubernetes and technical communication directly match the rotation’s requirements and stand-out criteria.</x:v>
      </x:c>
      <x:c r="U269" s="31" t="str">
        <x:v>Yuxuan_Chen_Resume_Giga_Software_Engineer_AI_Agents_20260907.pdf uploaded successfully</x:v>
      </x:c>
      <x:c r="V269" s="31" t="str">
        <x:v>None</x:v>
      </x:c>
      <x:c r="W269" s="31" t="str">
        <x:v>Submitted successfully through NVIDIA Workday on 2026-09-08. Official confirmation displayed: “Application Submitted — Your application has been successfully submitted.”</x:v>
      </x:c>
    </x:row>
    <x:row r="270">
      <x:c r="A270" s="28" t="str">
        <x:v>Capital One</x:v>
      </x:c>
      <x:c r="B270" s="28" t="str">
        <x:v>Technology Development Program Associate - February 2027</x:v>
      </x:c>
      <x:c r="C270" s="28" t="str">
        <x:v>https://www.linkedin.com/jobs/view/4461541249/</x:v>
      </x:c>
      <x:c r="D270" s="28" t="str">
        <x:v>Not captured; halted before application</x:v>
      </x:c>
      <x:c r="E270" s="29" t="str">
        <x:v>LinkedIn posted 2026-09-01</x:v>
      </x:c>
      <x:c r="F270" s="29" t="str">
        <x:v>2026-09-08</x:v>
      </x:c>
      <x:c r="G270" s="29"/>
      <x:c r="H270" s="29"/>
      <x:c r="I270" s="28" t="str">
        <x:v>Halted</x:v>
      </x:c>
      <x:c r="J270" s="30" t="n">
        <x:v>127000</x:v>
      </x:c>
      <x:c r="K270" s="30" t="n">
        <x:v>140000</x:v>
      </x:c>
      <x:c r="L270" s="28" t="str">
        <x:v>15-1252</x:v>
      </x:c>
      <x:c r="M270" s="28" t="str">
        <x:v>Software Developers</x:v>
      </x:c>
      <x:c r="N270" s="31" t="str">
        <x:v>Published location-specific pay is $127,000 in Richmond/Plano and $140,000 in McLean, but immigration incompatibility controls the decision.</x:v>
      </x:c>
      <x:c r="O270" s="31" t="str">
        <x:v>McLean, VA</x:v>
      </x:c>
      <x:c r="P270" s="31" t="str">
        <x:v>Richmond, VA; Plano, TX</x:v>
      </x:c>
      <x:c r="Q270" s="31" t="str">
        <x:v>Hybrid/in-person rotational program</x:v>
      </x:c>
      <x:c r="R270" s="31" t="str">
        <x:v>Incompatible: posting explicitly excludes H-1B, F-1 OPT, STEM OPT, CPT and all employer immigration support.</x:v>
      </x:c>
      <x:c r="S270" s="31" t="str">
        <x:v>Strong technical fit; immigration incompatible</x:v>
      </x:c>
      <x:c r="T270" s="31" t="str">
        <x:v>February 2027 cohort timing and full-stack/cloud stack fit well, but the explicit OPT and sponsorship exclusion is disqualifying.</x:v>
      </x:c>
      <x:c r="U270" s="31" t="str">
        <x:v>Not used</x:v>
      </x:c>
      <x:c r="V270" s="31" t="str">
        <x:v>None</x:v>
      </x:c>
      <x:c r="W270" s="31" t="str">
        <x:v>Halted immediately after full-description review due explicit OPT and sponsorship exclusion.</x:v>
      </x:c>
    </x:row>
    <x:row r="271">
      <x:c r="A271" s="28" t="str">
        <x:v>Raytheon</x:v>
      </x:c>
      <x:c r="B271" s="28" t="str">
        <x:v>Software Engineer I (Onsite)</x:v>
      </x:c>
      <x:c r="C271" s="28" t="str">
        <x:v>https://www.linkedin.com/jobs/view/4463590490/</x:v>
      </x:c>
      <x:c r="D271" s="28" t="str">
        <x:v>Not captured; halted before application</x:v>
      </x:c>
      <x:c r="E271" s="29" t="str">
        <x:v>2026-09-08</x:v>
      </x:c>
      <x:c r="F271" s="29" t="str">
        <x:v>2026-09-08</x:v>
      </x:c>
      <x:c r="G271" s="29"/>
      <x:c r="H271" s="29"/>
      <x:c r="I271" s="28" t="str">
        <x:v>Halted</x:v>
      </x:c>
      <x:c r="J271" s="30" t="n">
        <x:v>57200</x:v>
      </x:c>
      <x:c r="K271" s="30" t="n">
        <x:v>108800</x:v>
      </x:c>
      <x:c r="L271" s="28" t="str">
        <x:v>15-1252</x:v>
      </x:c>
      <x:c r="M271" s="28" t="str">
        <x:v>Software Developers</x:v>
      </x:c>
      <x:c r="N271" s="31" t="str">
        <x:v>Tucson range is $57,200-$108,800; immigration eligibility fails independently of wage.</x:v>
      </x:c>
      <x:c r="O271" s="31" t="str">
        <x:v>Tucson, AZ</x:v>
      </x:c>
      <x:c r="P271" s="31"/>
      <x:c r="Q271" s="31" t="str">
        <x:v>On-site</x:v>
      </x:c>
      <x:c r="R271" s="31" t="str">
        <x:v>Incompatible: U.S. citizenship and eligibility for a Secret clearance are required.</x:v>
      </x:c>
      <x:c r="S271" s="31" t="str">
        <x:v>Low due legal eligibility and embedded-systems gaps</x:v>
      </x:c>
      <x:c r="T271" s="31" t="str">
        <x:v>Entry level, but requires U.S. citizenship/clearance plus hardware-software integration and embedded testing.</x:v>
      </x:c>
      <x:c r="U271" s="31" t="str">
        <x:v>Not used</x:v>
      </x:c>
      <x:c r="V271" s="31" t="str">
        <x:v>None</x:v>
      </x:c>
      <x:c r="W271" s="31" t="str">
        <x:v>Halted immediately after full-description review.</x:v>
      </x:c>
    </x:row>
    <x:row r="272">
      <x:c r="A272" s="28" t="str">
        <x:v>ByteDance</x:v>
      </x:c>
      <x:c r="B272" s="28" t="str">
        <x:v>Software Engineer Graduate (Data-Speech-Product RD-Engineering-US) - 2027 Start</x:v>
      </x:c>
      <x:c r="C272" s="28" t="str">
        <x:v>https://www.linkedin.com/jobs/view/4449496343/</x:v>
      </x:c>
      <x:c r="D272" s="28" t="str">
        <x:v>Not captured; halted before application</x:v>
      </x:c>
      <x:c r="E272" s="29" t="str">
        <x:v>LinkedIn reposted 2026-09-08</x:v>
      </x:c>
      <x:c r="F272" s="29" t="str">
        <x:v>2026-09-08</x:v>
      </x:c>
      <x:c r="G272" s="29"/>
      <x:c r="H272" s="29"/>
      <x:c r="I272" s="28" t="str">
        <x:v>Halted</x:v>
      </x:c>
      <x:c r="J272" s="30" t="n">
        <x:v>128000</x:v>
      </x:c>
      <x:c r="K272" s="30" t="n">
        <x:v>256000</x:v>
      </x:c>
      <x:c r="L272" s="28" t="str">
        <x:v>15-1252</x:v>
      </x:c>
      <x:c r="M272" s="28" t="str">
        <x:v>Software Developers</x:v>
      </x:c>
      <x:c r="N272" s="31" t="str">
        <x:v>San Jose range is $128,000-$256,000; upper range is wage-compatible, but sponsorship exclusion controls the decision.</x:v>
      </x:c>
      <x:c r="O272" s="31" t="str">
        <x:v>San Jose, CA</x:v>
      </x:c>
      <x:c r="P272" s="31"/>
      <x:c r="Q272" s="31" t="str">
        <x:v>On-site</x:v>
      </x:c>
      <x:c r="R272" s="31" t="str">
        <x:v>Incompatible: posting explicitly states no sponsorship or immigration-related benefits.</x:v>
      </x:c>
      <x:c r="S272" s="31" t="str">
        <x:v>Strong ML-systems fit; immigration incompatible</x:v>
      </x:c>
      <x:c r="T272" s="31" t="str">
        <x:v>Python, GPU inference benchmarking and distributed systems align; C++/CUDA depth is a gap, and sponsorship is explicitly unavailable.</x:v>
      </x:c>
      <x:c r="U272" s="31" t="str">
        <x:v>Not used</x:v>
      </x:c>
      <x:c r="V272" s="31" t="str">
        <x:v>None</x:v>
      </x:c>
      <x:c r="W272" s="31" t="str">
        <x:v>Halted immediately after full-description review due explicit sponsorship exclusion.</x:v>
      </x:c>
    </x:row>
    <x:row r="273">
      <x:c r="A273" s="28" t="str">
        <x:v>Motorola Solutions</x:v>
      </x:c>
      <x:c r="B273" s="28" t="str">
        <x:v>Applied AI Engineer I – Supply Chain</x:v>
      </x:c>
      <x:c r="C273" s="28" t="str">
        <x:v>https://www.linkedin.com/jobs/view/4462031636/</x:v>
      </x:c>
      <x:c r="D273" s="28" t="str">
        <x:v>Not captured; deferred before application</x:v>
      </x:c>
      <x:c r="E273" s="29" t="str">
        <x:v>LinkedIn posted 2026-09-01</x:v>
      </x:c>
      <x:c r="F273" s="29" t="str">
        <x:v>2026-09-08</x:v>
      </x:c>
      <x:c r="G273" s="29"/>
      <x:c r="H273" s="29"/>
      <x:c r="I273" s="28" t="str">
        <x:v>Halted</x:v>
      </x:c>
      <x:c r="J273" s="30" t="n">
        <x:v>58500</x:v>
      </x:c>
      <x:c r="K273" s="30" t="n">
        <x:v>85200</x:v>
      </x:c>
      <x:c r="L273" s="28" t="str">
        <x:v>15-2051</x:v>
      </x:c>
      <x:c r="M273" s="28" t="str">
        <x:v>Data Scientists</x:v>
      </x:c>
      <x:c r="N273" s="31" t="str">
        <x:v>Chicago range of $58,500-$85,200 is below the applicable entry-level professional wage target used for this search.</x:v>
      </x:c>
      <x:c r="O273" s="31" t="str">
        <x:v>Chicago, IL</x:v>
      </x:c>
      <x:c r="P273" s="31"/>
      <x:c r="Q273" s="31" t="str">
        <x:v>Hybrid</x:v>
      </x:c>
      <x:c r="R273" s="31" t="str">
        <x:v>Not stated</x:v>
      </x:c>
      <x:c r="S273" s="31" t="str">
        <x:v>Exceptional technical fit; compensation below current floor</x:v>
      </x:c>
      <x:c r="T273" s="31" t="str">
        <x:v>LLMs, RAG/Text-to-SQL, agentic workflows, Python, SQL, APIs, cloud and Docker align directly.</x:v>
      </x:c>
      <x:c r="U273" s="31" t="str">
        <x:v>Not used</x:v>
      </x:c>
      <x:c r="V273" s="31" t="str">
        <x:v>None</x:v>
      </x:c>
      <x:c r="W273" s="31" t="str">
        <x:v>Deferred under the user’s rule to exhaust Level-1-compatible roles before considering ranges that do not reach the wage floor.</x:v>
      </x:c>
    </x:row>
    <x:row r="274">
      <x:c r="A274" s="28" t="str">
        <x:v>Sentry</x:v>
      </x:c>
      <x:c r="B274" s="28" t="str">
        <x:v>Software Engineer, New Grad (2027)</x:v>
      </x:c>
      <x:c r="C274" s="28" t="str">
        <x:v>https://www.linkedin.com/jobs/view/4451958763/</x:v>
      </x:c>
      <x:c r="D274" s="28" t="str">
        <x:v>Not available; posting closed</x:v>
      </x:c>
      <x:c r="E274" s="29" t="str">
        <x:v>LinkedIn posted approximately 2026-08-08</x:v>
      </x:c>
      <x:c r="F274" s="29" t="str">
        <x:v>2026-09-08</x:v>
      </x:c>
      <x:c r="G274" s="29"/>
      <x:c r="H274" s="29"/>
      <x:c r="I274" s="28" t="str">
        <x:v>Halted</x:v>
      </x:c>
      <x:c r="J274" s="30" t="n">
        <x:v>145000</x:v>
      </x:c>
      <x:c r="K274" s="30" t="n">
        <x:v>150000</x:v>
      </x:c>
      <x:c r="L274" s="28" t="str">
        <x:v>15-1252</x:v>
      </x:c>
      <x:c r="M274" s="28" t="str">
        <x:v>Software Developers</x:v>
      </x:c>
      <x:c r="N274" s="31" t="str">
        <x:v>San Francisco pay is near the Level 1 threshold but the posting is closed.</x:v>
      </x:c>
      <x:c r="O274" s="31" t="str">
        <x:v>San Francisco, CA</x:v>
      </x:c>
      <x:c r="P274" s="31"/>
      <x:c r="Q274" s="31" t="str">
        <x:v>Hybrid</x:v>
      </x:c>
      <x:c r="R274" s="31" t="str">
        <x:v>Compatible in principle: the posting explicitly says sponsorship is available.</x:v>
      </x:c>
      <x:c r="S274" s="31" t="str">
        <x:v>Exceptional technical fit; posting closed</x:v>
      </x:c>
      <x:c r="T274" s="31" t="str">
        <x:v>Python, TypeScript, React, distributed data systems, observability and AI-agent work match directly.</x:v>
      </x:c>
      <x:c r="U274" s="31" t="str">
        <x:v>Not used</x:v>
      </x:c>
      <x:c r="V274" s="31" t="str">
        <x:v>None</x:v>
      </x:c>
      <x:c r="W274" s="31" t="str">
        <x:v>Halted because LinkedIn authoritatively displays “Not currently accepting applications.”</x:v>
      </x:c>
    </x:row>
    <x:row r="275">
      <x:c r="A275" s="28" t="str">
        <x:v>Benchling</x:v>
      </x:c>
      <x:c r="B275" s="28" t="str">
        <x:v>Software Engineer, New Grad 2026</x:v>
      </x:c>
      <x:c r="C275" s="28" t="str">
        <x:v>Not captured; stale search result</x:v>
      </x:c>
      <x:c r="D275" s="28" t="str">
        <x:v>https://jobs.ashbyhq.com/benchling/b3c9b312-6e2b-4dbc-9b15-0b0310d75a7f</x:v>
      </x:c>
      <x:c r="E275" s="29" t="str">
        <x:v>Not available</x:v>
      </x:c>
      <x:c r="F275" s="29" t="str">
        <x:v>2026-09-09</x:v>
      </x:c>
      <x:c r="G275" s="29"/>
      <x:c r="H275" s="29"/>
      <x:c r="I275" s="28" t="str">
        <x:v>Halted</x:v>
      </x:c>
      <x:c r="J275" s="30" t="n">
        <x:v>144000</x:v>
      </x:c>
      <x:c r="K275" s="30" t="n">
        <x:v>144000</x:v>
      </x:c>
      <x:c r="L275" s="28" t="str">
        <x:v>15-1252</x:v>
      </x:c>
      <x:c r="M275" s="28" t="str">
        <x:v>Software Developers</x:v>
      </x:c>
      <x:c r="N275" s="31" t="str">
        <x:v>Not evaluated further because the authoritative employer page no longer contains the job.</x:v>
      </x:c>
      <x:c r="O275" s="31" t="str">
        <x:v>San Francisco, CA</x:v>
      </x:c>
      <x:c r="P275" s="31"/>
      <x:c r="Q275" s="31" t="str">
        <x:v>Not available</x:v>
      </x:c>
      <x:c r="R275" s="31" t="str">
        <x:v>Not available</x:v>
      </x:c>
      <x:c r="S275" s="31" t="str">
        <x:v>Posting closed</x:v>
      </x:c>
      <x:c r="T275" s="31" t="str">
        <x:v>Search result suggested a relevant new-grad software role, but the official page is no longer active.</x:v>
      </x:c>
      <x:c r="U275" s="31" t="str">
        <x:v>Not used</x:v>
      </x:c>
      <x:c r="V275" s="31" t="str">
        <x:v>None</x:v>
      </x:c>
      <x:c r="W275" s="31" t="str">
        <x:v>Halted after the official Ashby page displayed “Job not found.”</x:v>
      </x:c>
    </x:row>
    <x:row r="276">
      <x:c r="A276" s="28" t="str">
        <x:v>T-Mobile</x:v>
      </x:c>
      <x:c r="B276" s="28" t="str">
        <x:v>Associate Software Engineer</x:v>
      </x:c>
      <x:c r="C276" s="28" t="str">
        <x:v>https://www.linkedin.com/jobs/view/4463599428/</x:v>
      </x:c>
      <x:c r="D276" s="28" t="str">
        <x:v>https://tmobile.wd1.myworkdayjobs.com/External/job/Overland-Park-Kansas/Associate-Software-Engineer_REQ367954-1/apply</x:v>
      </x:c>
      <x:c r="E276" s="29" t="str">
        <x:v>2026-09-08</x:v>
      </x:c>
      <x:c r="F276" s="29" t="str">
        <x:v>2026-09-09</x:v>
      </x:c>
      <x:c r="G276" s="29"/>
      <x:c r="H276" s="29"/>
      <x:c r="I276" s="28" t="str">
        <x:v>Halted</x:v>
      </x:c>
      <x:c r="J276" s="30" t="n">
        <x:v>66900</x:v>
      </x:c>
      <x:c r="K276" s="30" t="n">
        <x:v>120600</x:v>
      </x:c>
      <x:c r="L276" s="28" t="str">
        <x:v>15-1252</x:v>
      </x:c>
      <x:c r="M276" s="28" t="str">
        <x:v>Software Developers</x:v>
      </x:c>
      <x:c r="N276" s="31" t="str">
        <x:v>For Overland Park in the Kansas City MO-KS area, Level 1 is $82,160, Level 2 $101,962, Level 3 $121,742 and Level 4 $141,544. Pay from $82,160 clears Level 1 and pay from $101,962 clears Level 2. Overland Park is preferred over Denver because the same national range reaches a higher wage level there; Denver Level 1 is $104,624.</x:v>
      </x:c>
      <x:c r="O276" s="31" t="str">
        <x:v>Overland Park, KS</x:v>
      </x:c>
      <x:c r="P276" s="31" t="str">
        <x:v>Denver, CO</x:v>
      </x:c>
      <x:c r="Q276" s="31" t="str">
        <x:v>On-site</x:v>
      </x:c>
      <x:c r="R276" s="31" t="str">
        <x:v>Posting requires current U.S. work authorization and does not state a future-sponsorship exclusion. Employer sponsorship history makes it eligible under the candidate preference.</x:v>
      </x:c>
      <x:c r="S276" s="31" t="str">
        <x:v>Strong</x:v>
      </x:c>
      <x:c r="T276" s="31" t="str">
        <x:v>True entry-level role requiring under two years of experience; direct overlap with JavaScript, HTML/CSS, Java, React, REST APIs, Docker, relational databases and scalable services.</x:v>
      </x:c>
      <x:c r="U276" s="31" t="str">
        <x:v>Not used</x:v>
      </x:c>
      <x:c r="V276" s="31" t="str">
        <x:v>None</x:v>
      </x:c>
      <x:c r="W276" s="31" t="str">
        <x:v>Rechecked on 2026-09-09; the official T-Mobile Workday URL now displays that the page does not exist. No application was submitted.</x:v>
      </x:c>
    </x:row>
    <x:row r="277">
      <x:c r="A277" s="28" t="str">
        <x:v>Infoblox</x:v>
      </x:c>
      <x:c r="B277" s="28" t="str">
        <x:v>Associate Data Engineer</x:v>
      </x:c>
      <x:c r="C277" s="28" t="str">
        <x:v>https://www.linkedin.com/jobs/view/4464974080/</x:v>
      </x:c>
      <x:c r="D277" s="28" t="str">
        <x:v>https://efpv.fa.us6.oraclecloud.com/hcmUI/CandidateExperience/en/job/7837/</x:v>
      </x:c>
      <x:c r="E277" s="29" t="str">
        <x:v>2026-09-09</x:v>
      </x:c>
      <x:c r="F277" s="29" t="str">
        <x:v>2026-09-09</x:v>
      </x:c>
      <x:c r="G277" s="29"/>
      <x:c r="H277" s="29"/>
      <x:c r="I277" s="28" t="str">
        <x:v>Submitted</x:v>
      </x:c>
      <x:c r="J277" s="30" t="n">
        <x:v>81500</x:v>
      </x:c>
      <x:c r="K277" s="30" t="n">
        <x:v>117370</x:v>
      </x:c>
      <x:c r="L277" s="28" t="str">
        <x:v>15-1243</x:v>
      </x:c>
      <x:c r="M277" s="28" t="str">
        <x:v>Database Architects</x:v>
      </x:c>
      <x:c r="N277" s="31" t="str">
        <x:v>Seattle-Tacoma-Bellevue Level 1 is $100,526, Level 2 $117,021, Level 3 $133,494 and Level 4 $149,989. Offers from $100,526 clear Level 1; the posted maximum of $117,370 narrowly clears Level 2 by $349.</x:v>
      </x:c>
      <x:c r="O277" s="31" t="str">
        <x:v>Tacoma, WA</x:v>
      </x:c>
      <x:c r="P277" s="31"/>
      <x:c r="Q277" s="31" t="str">
        <x:v>Hybrid</x:v>
      </x:c>
      <x:c r="R277" s="31" t="str">
        <x:v>Not stated; no sponsorship exclusion appears in the full official posting or initial application screen.</x:v>
      </x:c>
      <x:c r="S277" s="31" t="str">
        <x:v>Excellent</x:v>
      </x:c>
      <x:c r="T277" s="31" t="str">
        <x:v>Direct overlap with Python, large-scale data pipelines, LLM/RAG systems, MCP integrations, cloud environments, CI/CD, async workloads and research-oriented AI infrastructure. Spark is the main learning gap.</x:v>
      </x:c>
      <x:c r="U277" s="31" t="str">
        <x:v>Yuxuan_Chen_Resume_Giga_Software_Engineer_AI_Agents_20260907.pdf</x:v>
      </x:c>
      <x:c r="V277" s="31" t="str">
        <x:v>None</x:v>
      </x:c>
      <x:c r="W277" s="31" t="str">
        <x:v>Submitted through the official Oracle candidate portal on 2026-09-09. Official profile shows Under Consideration and Applied on 09/09/2026. Disclosed future sponsorship need and current work eligibility. Any offer must be at least $100,526 to clear Tacoma Level 1.</x:v>
      </x:c>
    </x:row>
    <x:row r="278">
      <x:c r="A278" s="28" t="str">
        <x:v>University of Utah</x:v>
      </x:c>
      <x:c r="B278" s="28" t="str">
        <x:v>Software Development Engineer I/II</x:v>
      </x:c>
      <x:c r="C278" s="28" t="str">
        <x:v>https://www.linkedin.com/jobs/view/4464979195/</x:v>
      </x:c>
      <x:c r="D278" s="28" t="str">
        <x:v>https://utah.peopleadmin.com/postings/208911</x:v>
      </x:c>
      <x:c r="E278" s="29" t="str">
        <x:v>2026-09-09</x:v>
      </x:c>
      <x:c r="F278" s="29" t="str">
        <x:v>2026-09-09</x:v>
      </x:c>
      <x:c r="G278" s="29"/>
      <x:c r="H278" s="29"/>
      <x:c r="I278" s="28" t="str">
        <x:v>Halted</x:v>
      </x:c>
      <x:c r="J278" s="30" t="n">
        <x:v>50000</x:v>
      </x:c>
      <x:c r="K278" s="30" t="n">
        <x:v>87000</x:v>
      </x:c>
      <x:c r="L278" s="28" t="str">
        <x:v>15-1252</x:v>
      </x:c>
      <x:c r="M278" s="28" t="str">
        <x:v>Software Developers</x:v>
      </x:c>
      <x:c r="N278" s="31" t="str">
        <x:v>The employer range is below the applicable Level 1 software-developer wage threshold for Salt Lake City, so it is deferred under the candidate’s instruction to exhaust Level 1-compatible roles first.</x:v>
      </x:c>
      <x:c r="O278" s="31" t="str">
        <x:v>Salt Lake City, UT</x:v>
      </x:c>
      <x:c r="P278" s="31"/>
      <x:c r="Q278" s="31" t="str">
        <x:v>On-site</x:v>
      </x:c>
      <x:c r="R278" s="31" t="str">
        <x:v>University employment could be cap-exempt, but sponsorship is not stated in the posting.</x:v>
      </x:c>
      <x:c r="S278" s="31" t="str">
        <x:v>Excellent technical fit; wage incompatible</x:v>
      </x:c>
      <x:c r="T278" s="31" t="str">
        <x:v>Exceptionally close overlap with AI-ready infrastructure, agentic systems, scientific workflows, cloud platforms, APIs, microservices, data pipelines and academic research collaboration.</x:v>
      </x:c>
      <x:c r="U278" s="31" t="str">
        <x:v>Not used</x:v>
      </x:c>
      <x:c r="V278" s="31" t="str">
        <x:v>None</x:v>
      </x:c>
      <x:c r="W278" s="31" t="str">
        <x:v>Halted for now because Software Development Engineer I pays $50,000-$75,000 and level II pays $60,000-$87,000, below the required wage floor.</x:v>
      </x:c>
    </x:row>
    <x:row r="279">
      <x:c r="A279" s="28" t="str">
        <x:v>Viasat</x:v>
      </x:c>
      <x:c r="B279" s="28" t="str">
        <x:v>Embedded Software Engineer, Early Career</x:v>
      </x:c>
      <x:c r="C279" s="28" t="str">
        <x:v>https://www.linkedin.com/jobs/view/4456400452/</x:v>
      </x:c>
      <x:c r="D279" s="28" t="str">
        <x:v>Not collected; ineligible before application</x:v>
      </x:c>
      <x:c r="E279" s="29" t="str">
        <x:v>LinkedIn reposted 2026-09-09</x:v>
      </x:c>
      <x:c r="F279" s="29" t="str">
        <x:v>2026-09-09</x:v>
      </x:c>
      <x:c r="G279" s="29"/>
      <x:c r="H279" s="29"/>
      <x:c r="I279" s="28" t="str">
        <x:v>Halted</x:v>
      </x:c>
      <x:c r="J279" s="30" t="n">
        <x:v>95000</x:v>
      </x:c>
      <x:c r="K279" s="30" t="n">
        <x:v>150000</x:v>
      </x:c>
      <x:c r="L279" s="28" t="str">
        <x:v>15-1252</x:v>
      </x:c>
      <x:c r="M279" s="28" t="str">
        <x:v>Software Developers</x:v>
      </x:c>
      <x:c r="N279" s="31" t="str">
        <x:v>Not evaluated further because the mandatory citizenship and active clearance requirements are independently disqualifying.</x:v>
      </x:c>
      <x:c r="O279" s="31" t="str">
        <x:v>Carlsbad, CA</x:v>
      </x:c>
      <x:c r="P279" s="31"/>
      <x:c r="Q279" s="31" t="str">
        <x:v>On-site, five days per week</x:v>
      </x:c>
      <x:c r="R279" s="31" t="str">
        <x:v>Ineligible: U.S. citizenship and an active Secret or Top Secret clearance are mandatory.</x:v>
      </x:c>
      <x:c r="S279" s="31" t="str">
        <x:v>Ineligible</x:v>
      </x:c>
      <x:c r="T279" s="31" t="str">
        <x:v>The role is early-career, but it requires embedded C/C++ or Rust plus U.S. citizenship and an active security clearance.</x:v>
      </x:c>
      <x:c r="U279" s="31" t="str">
        <x:v>Not used</x:v>
      </x:c>
      <x:c r="V279" s="31" t="str">
        <x:v>None</x:v>
      </x:c>
      <x:c r="W279" s="31" t="str">
        <x:v>Halted immediately after full description review due to mandatory U.S. citizenship and active clearance.</x:v>
      </x:c>
    </x:row>
    <x:row r="280">
      <x:c r="A280" s="28" t="str">
        <x:v>NVIDIA</x:v>
      </x:c>
      <x:c r="B280" s="28" t="str">
        <x:v>Software Engineer - AI Research Clusters</x:v>
      </x:c>
      <x:c r="C280" s="28" t="str">
        <x:v>https://www.linkedin.com/jobs/view/4463568911/</x:v>
      </x:c>
      <x:c r="D280" s="28" t="str">
        <x:v>https://nvidia.wd5.myworkdayjobs.com/NVIDIAExternalCareerSite/job/US-CA-Santa-Clara/Software-Engineer---AI-Research-Clusters_JR2017905?source=jobboardlinkedin</x:v>
      </x:c>
      <x:c r="E280" s="29" t="str">
        <x:v>2026-09-09</x:v>
      </x:c>
      <x:c r="F280" s="29" t="str">
        <x:v>2026-09-09</x:v>
      </x:c>
      <x:c r="G280" s="29" t="str">
        <x:v>2026-09-09</x:v>
      </x:c>
      <x:c r="H280" s="29" t="str">
        <x:v>2026-09-09</x:v>
      </x:c>
      <x:c r="I280" s="28" t="str">
        <x:v>Submitted</x:v>
      </x:c>
      <x:c r="J280" s="30" t="n">
        <x:v>124000</x:v>
      </x:c>
      <x:c r="K280" s="30" t="n">
        <x:v>195500</x:v>
      </x:c>
      <x:c r="L280" s="28" t="str">
        <x:v>15-1252</x:v>
      </x:c>
      <x:c r="M280" s="28" t="str">
        <x:v>Software Developers</x:v>
      </x:c>
      <x:c r="N280" s="31" t="str">
        <x:v>Boston-Cambridge-Newton Level 1 is $114,275, Level 2 $138,237, Level 3 $162,198 and Level 4 $186,160. The full advertised range clears Level 1; $138,237 and above clears Level 2, $162,198 and above clears Level 3, and $186,160 and above clears Level 4.</x:v>
      </x:c>
      <x:c r="O280" s="31" t="str">
        <x:v>Westford, MA</x:v>
      </x:c>
      <x:c r="P280" s="31" t="str">
        <x:v>Santa Clara, CA; Austin, TX; Hillsboro, OR; Remote, CO; Durham, NC</x:v>
      </x:c>
      <x:c r="Q280" s="31" t="str">
        <x:v>On-site for Westford; one Colorado remote option is also listed</x:v>
      </x:c>
      <x:c r="R280" s="31" t="str">
        <x:v>Not stated; NVIDIA has prior sponsorship history and no exclusion appears in the full official posting.</x:v>
      </x:c>
      <x:c r="S280" s="31" t="str">
        <x:v>Strong stretch</x:v>
      </x:c>
      <x:c r="T280" s="31" t="str">
        <x:v>Direct overlap with Python, agentic AI, LLM evaluation platforms, Linux cloud systems, Docker, CI/CD, REST APIs, relational data modeling, observability and GPU-backed experimentation. Main gaps are Kubernetes and the requested two years of platform engineering.</x:v>
      </x:c>
      <x:c r="U280" s="31" t="str">
        <x:v>Yuxuan_Chen_Resume_Giga_Software_Engineer_AI_Agents_20260907.pdf</x:v>
      </x:c>
      <x:c r="V280" s="31" t="str">
        <x:v>None</x:v>
      </x:c>
      <x:c r="W280" s="31" t="str">
        <x:v>Submitted successfully through NVIDIA Workday on 2026-09-09. Candidate Home shows Application Received for JR2017905 and the official Application Submitted dialog confirmed success. Westford, MA selected; current authorization Yes and employer support Yes.</x:v>
      </x:c>
    </x:row>
    <x:row r="281">
      <x:c r="A281" s="28" t="str">
        <x:v>Jobright.ai</x:v>
      </x:c>
      <x:c r="B281" s="28" t="str">
        <x:v>AI Engineer, New Grad</x:v>
      </x:c>
      <x:c r="C281" s="28" t="str">
        <x:v>https://www.linkedin.com/jobs/view/4463555450/</x:v>
      </x:c>
      <x:c r="D281" s="28" t="str">
        <x:v>https://jobright.ai/jobs/info/b2b_1785242193593_978</x:v>
      </x:c>
      <x:c r="E281" s="29" t="str">
        <x:v>2026-09-09</x:v>
      </x:c>
      <x:c r="F281" s="29" t="str">
        <x:v>2026-09-09</x:v>
      </x:c>
      <x:c r="G281" s="29"/>
      <x:c r="H281" s="29"/>
      <x:c r="I281" s="28" t="str">
        <x:v>Halted</x:v>
      </x:c>
      <x:c r="J281" s="30"/>
      <x:c r="K281" s="30"/>
      <x:c r="L281" s="28" t="str">
        <x:v>15-2051</x:v>
      </x:c>
      <x:c r="M281" s="28" t="str">
        <x:v>Data Scientists</x:v>
      </x:c>
      <x:c r="N281" s="31" t="str">
        <x:v>Remote worksite and salary are undisclosed, so no defensible location-specific wage comparison can be made. The official role page’s No H1B label independently disqualifies it.</x:v>
      </x:c>
      <x:c r="O281" s="31" t="str">
        <x:v>Remote U.S. (worksite pending)</x:v>
      </x:c>
      <x:c r="P281" s="31"/>
      <x:c r="Q281" s="31" t="str">
        <x:v>Remote</x:v>
      </x:c>
      <x:c r="R281" s="31" t="str">
        <x:v>Incompatible: the official Jobright role page explicitly labels the position No H1B.</x:v>
      </x:c>
      <x:c r="S281" s="31" t="str">
        <x:v>Exceptional technical fit; visa-incompatible</x:v>
      </x:c>
      <x:c r="T281" s="31" t="str">
        <x:v>Python, LLM/RAG, embeddings, evaluation datasets, search, recommendation, ranking, data pipelines, APIs and AI-agent product work match closely.</x:v>
      </x:c>
      <x:c r="U281" s="31" t="str">
        <x:v>Not used</x:v>
      </x:c>
      <x:c r="V281" s="31" t="str">
        <x:v>None</x:v>
      </x:c>
      <x:c r="W281" s="31" t="str">
        <x:v>Halted after complete official role-page review because the destination explicitly says No H1B.</x:v>
      </x:c>
    </x:row>
    <x:row r="282">
      <x:c r="A282" s="28" t="str">
        <x:v>Breeze</x:v>
      </x:c>
      <x:c r="B282" s="28" t="str">
        <x:v>Full Stack Engineer - Junior</x:v>
      </x:c>
      <x:c r="C282" s="28" t="str">
        <x:v>https://www.linkedin.com/jobs/view/4459573188/</x:v>
      </x:c>
      <x:c r="D282" s="28" t="str">
        <x:v>https://job-boards.greenhouse.io/breezecash/jobs/5412768008</x:v>
      </x:c>
      <x:c r="E282" s="29" t="str">
        <x:v>LinkedIn reposted 2026-09-09</x:v>
      </x:c>
      <x:c r="F282" s="29" t="str">
        <x:v>2026-09-09</x:v>
      </x:c>
      <x:c r="G282" s="29"/>
      <x:c r="H282" s="29"/>
      <x:c r="I282" s="28" t="str">
        <x:v>Rejected</x:v>
      </x:c>
      <x:c r="J282" s="30" t="n">
        <x:v>115000</x:v>
      </x:c>
      <x:c r="K282" s="30" t="n">
        <x:v>135000</x:v>
      </x:c>
      <x:c r="L282" s="28" t="str">
        <x:v>15-1252</x:v>
      </x:c>
      <x:c r="M282" s="28" t="str">
        <x:v>Software Developers</x:v>
      </x:c>
      <x:c r="N282" s="31" t="str">
        <x:v>New York-Newark-Jersey City Level 1 is $109,845 and Level 2 is $137,717. The full $115,000-$135,000 range clears Level 1 but does not reach Level 2.</x:v>
      </x:c>
      <x:c r="O282" s="31" t="str">
        <x:v>New York, NY</x:v>
      </x:c>
      <x:c r="P282" s="31"/>
      <x:c r="Q282" s="31" t="str">
        <x:v>Hybrid, three office days per week</x:v>
      </x:c>
      <x:c r="R282" s="31" t="str">
        <x:v>Not stated in the posting; the application asks whether sponsorship is required and does not show an exclusion.</x:v>
      </x:c>
      <x:c r="S282" s="31" t="str">
        <x:v>Strong stretch</x:v>
      </x:c>
      <x:c r="T282" s="31" t="str">
        <x:v>React, TypeScript, Node-style backend work, AI-agent tooling, RAG, product ownership, scalable APIs and user-facing full-stack systems match well. The main gap is the requested two years of professional engineering experience and direct fintech exposure.</x:v>
      </x:c>
      <x:c r="U282" s="31" t="str">
        <x:v>Yuxuan_Chen_Resume_Salesforce_Software_Engineering_AMTS_20260907.pdf</x:v>
      </x:c>
      <x:c r="V282" s="31" t="str">
        <x:v>None</x:v>
      </x:c>
      <x:c r="W282" s="31" t="str">
        <x:v>Submitted through the official Greenhouse form on 2026-09-09. Official confirmation: Thank you for applying; application received. Disclosed current U.S. work eligibility and future sponsorship need; optional cover letter omitted. Email update reviewed 2026-09-21. Rejection received 2026-09-16: Breeze decided not to move forward with the Full Stack Engineer - Junior application.</x:v>
      </x:c>
    </x:row>
    <x:row r="283">
      <x:c r="A283" s="28" t="str">
        <x:v>T-Mobile</x:v>
      </x:c>
      <x:c r="B283" s="28" t="str">
        <x:v>Front-End Developer, Dynamic Ad Creative</x:v>
      </x:c>
      <x:c r="C283" s="28" t="str">
        <x:v>https://www.linkedin.com/jobs/view/4463593592/</x:v>
      </x:c>
      <x:c r="D283" s="28" t="str">
        <x:v>https://tmobile.wd1.myworkdayjobs.com/External/job/New-York-New-York/Front-End-Developer--Dynamic-Ad-Creative_REQ368337/apply</x:v>
      </x:c>
      <x:c r="E283" s="29" t="str">
        <x:v>2026-09-09</x:v>
      </x:c>
      <x:c r="F283" s="29" t="str">
        <x:v>2026-09-09</x:v>
      </x:c>
      <x:c r="G283" s="29"/>
      <x:c r="H283" s="29"/>
      <x:c r="I283" s="28" t="str">
        <x:v>Needs input</x:v>
      </x:c>
      <x:c r="J283" s="30" t="n">
        <x:v>61400</x:v>
      </x:c>
      <x:c r="K283" s="30" t="n">
        <x:v>110800</x:v>
      </x:c>
      <x:c r="L283" s="28" t="str">
        <x:v>15-1254</x:v>
      </x:c>
      <x:c r="M283" s="28" t="str">
        <x:v>Web Developers</x:v>
      </x:c>
      <x:c r="N283" s="31" t="str">
        <x:v>New York-Newark-Jersey City Web Developers Level 1 is $55,162, Level 2 $82,181, Level 3 $109,179 and Level 4 $136,198. The full national base-pay range clears Level 1; $82,181 and above clears Level 2, and $109,179-$110,800 clears Level 3.</x:v>
      </x:c>
      <x:c r="O283" s="31" t="str">
        <x:v>New York, NY</x:v>
      </x:c>
      <x:c r="P283" s="31"/>
      <x:c r="Q283" s="31" t="str">
        <x:v>On-site</x:v>
      </x:c>
      <x:c r="R283" s="31" t="str">
        <x:v>Posting requires current U.S. work authorization and does not state a future-sponsorship exclusion. Employer sponsorship history makes it eligible under the candidate preference.</x:v>
      </x:c>
      <x:c r="S283" s="31" t="str">
        <x:v>Realistic adjacent fit</x:v>
      </x:c>
      <x:c r="T283" s="31" t="str">
        <x:v>JavaScript, HTML/CSS, React-style responsive interfaces, API/JSON integration, user experience and cross-functional product work are supported by the resume. The main gaps are direct dynamic-ad creative and pixel-perfect Figma production experience.</x:v>
      </x:c>
      <x:c r="U283" s="31" t="str">
        <x:v>Yuxuan_Chen_Resume_Salesforce_Software_Engineering_AMTS_20260907.pdf planned</x:v>
      </x:c>
      <x:c r="V283" s="31" t="str">
        <x:v>T-Mobile Workday requires account sign-in or creation with a password. The candidate must complete the password step manually; no application-content decision is needed.</x:v>
      </x:c>
      <x:c r="W283" s="31" t="str">
        <x:v>Full description and wage/SOC screen passed: the entire range clears NYC Web Developer Level 1 and the upper range reaches Level 3. Application opened on 2026-09-09 but halted at the required password/account screen.</x:v>
      </x:c>
    </x:row>
    <x:row r="284">
      <x:c r="A284" s="28" t="str">
        <x:v>interface.ai</x:v>
      </x:c>
      <x:c r="B284" s="28" t="str">
        <x:v>Software Engineer</x:v>
      </x:c>
      <x:c r="C284" s="28" t="str">
        <x:v>https://www.linkedin.com/jobs/view/4463584932/</x:v>
      </x:c>
      <x:c r="D284" s="28" t="str">
        <x:v>https://jobs.ashbyhq.com/interface-ai/abbcf39d-cac3-49ee-9279-82a59821c300/application</x:v>
      </x:c>
      <x:c r="E284" s="29" t="str">
        <x:v>2026-09-09</x:v>
      </x:c>
      <x:c r="F284" s="29" t="str">
        <x:v>2026-09-09</x:v>
      </x:c>
      <x:c r="G284" s="29" t="str">
        <x:v>2026-09-09</x:v>
      </x:c>
      <x:c r="H284" s="29" t="str">
        <x:v>2026-09-09</x:v>
      </x:c>
      <x:c r="I284" s="28" t="str">
        <x:v>Submitted</x:v>
      </x:c>
      <x:c r="J284" s="30" t="n">
        <x:v>135000</x:v>
      </x:c>
      <x:c r="K284" s="30" t="n">
        <x:v>175000</x:v>
      </x:c>
      <x:c r="L284" s="28" t="str">
        <x:v>15-1252</x:v>
      </x:c>
      <x:c r="M284" s="28" t="str">
        <x:v>Software Developers</x:v>
      </x:c>
      <x:c r="N284" s="31" t="str">
        <x:v>San Francisco-Oakland-Fremont Level 1 is $137,093, Level 2 $165,131, Level 3 $193,149 and Level 4 $221,187. The minimum is $2,093 below Level 1, but nearly the entire range from $137,093 upward clears Level 1 and $165,131-$175,000 clears Level 2.</x:v>
      </x:c>
      <x:c r="O284" s="31" t="str">
        <x:v>San Francisco, CA</x:v>
      </x:c>
      <x:c r="P284" s="31"/>
      <x:c r="Q284" s="31" t="str">
        <x:v>On-site, five days per week</x:v>
      </x:c>
      <x:c r="R284" s="31" t="str">
        <x:v>The application explicitly asks whether sponsorship is needed and does not state an exclusion in the full posting.</x:v>
      </x:c>
      <x:c r="S284" s="31" t="str">
        <x:v>Exceptional technical fit; wage-floor caution</x:v>
      </x:c>
      <x:c r="T284" s="31" t="str">
        <x:v>The role targets 2024-December 2026 graduates and directly matches production LLM features, evaluation harnesses, agentic AI, shipped projects, APIs and high-ownership product engineering.</x:v>
      </x:c>
      <x:c r="U284" s="31" t="str">
        <x:v>Yuxuan_Chen_Resume_Giga_Software_Engineer_AI_Agents_20260907.pdf</x:v>
      </x:c>
      <x:c r="V284" s="31" t="str">
        <x:v>Complete the take-home build assignment and send a public GitHub repository to assignments@interface.ai. No deadline is stated. AI-assisted development is explicitly allowed, but the candidate must be able to defend all submitted work.</x:v>
      </x:c>
      <x:c r="W284" s="31" t="str">
        <x:v>Submitted successfully on the official Ashby form on 2026-09-09. Take-home assignment received 2026-09-09: build a computer-use automation system where an LLM completes a real-UI task, records the successful run as a reusable capability, and replays it deterministically without a model in the loop.</x:v>
      </x:c>
    </x:row>
    <x:row r="285">
      <x:c r="A285" s="28" t="str">
        <x:v>Leader Bank</x:v>
      </x:c>
      <x:c r="B285" s="28" t="str">
        <x:v>Full Stack Developer</x:v>
      </x:c>
      <x:c r="C285" s="28" t="str">
        <x:v>https://www.linkedin.com/jobs/view/4465094113/</x:v>
      </x:c>
      <x:c r="D285" s="28" t="str">
        <x:v>Not opened; halted after full LinkedIn description review</x:v>
      </x:c>
      <x:c r="E285" s="29" t="str">
        <x:v>LinkedIn posted 2026-09-09</x:v>
      </x:c>
      <x:c r="F285" s="29" t="str">
        <x:v>2026-09-09</x:v>
      </x:c>
      <x:c r="G285" s="29"/>
      <x:c r="H285" s="29"/>
      <x:c r="I285" s="28" t="str">
        <x:v>Halted</x:v>
      </x:c>
      <x:c r="J285" s="30" t="n">
        <x:v>65854.26</x:v>
      </x:c>
      <x:c r="K285" s="30" t="n">
        <x:v>82317.57</x:v>
      </x:c>
      <x:c r="L285" s="28" t="str">
        <x:v>15-1252</x:v>
      </x:c>
      <x:c r="M285" s="28" t="str">
        <x:v>Software Developers</x:v>
      </x:c>
      <x:c r="N285" s="31" t="str">
        <x:v>Arlington, Massachusetts is in the Boston-Cambridge-Newton area. The entire $65,854-$82,318 range is below the provided Software Developers Level 1 benchmark of $114,275.</x:v>
      </x:c>
      <x:c r="O285" s="31" t="str">
        <x:v>Arlington, MA</x:v>
      </x:c>
      <x:c r="P285" s="31"/>
      <x:c r="Q285" s="31" t="str">
        <x:v>On-site</x:v>
      </x:c>
      <x:c r="R285" s="31" t="str">
        <x:v>Not stated.</x:v>
      </x:c>
      <x:c r="S285" s="31" t="str">
        <x:v>Excellent technical fit; wage incompatible</x:v>
      </x:c>
      <x:c r="T285" s="31" t="str">
        <x:v>Python, JavaScript, React/Vue, REST APIs, PostgreSQL, AWS, CI/CD and applied AI automation align closely; the wage range fails the required floor.</x:v>
      </x:c>
      <x:c r="U285" s="31" t="str">
        <x:v>Not used</x:v>
      </x:c>
      <x:c r="V285" s="31" t="str">
        <x:v>None</x:v>
      </x:c>
      <x:c r="W285" s="31" t="str">
        <x:v>Skipped immediately after full description review because the posted maximum is below the applicable Level 1 wage threshold.</x:v>
      </x:c>
    </x:row>
    <x:row r="286">
      <x:c r="A286" s="28" t="str">
        <x:v>CBIZ</x:v>
      </x:c>
      <x:c r="B286" s="28" t="str">
        <x:v>AI Full Stack Application Developer</x:v>
      </x:c>
      <x:c r="C286" s="28" t="str">
        <x:v>https://www.linkedin.com/jobs/view/4463886578/</x:v>
      </x:c>
      <x:c r="D286" s="28" t="str">
        <x:v>Not opened; halted after full LinkedIn description review</x:v>
      </x:c>
      <x:c r="E286" s="29" t="str">
        <x:v>LinkedIn posted 2026-09-09</x:v>
      </x:c>
      <x:c r="F286" s="29" t="str">
        <x:v>2026-09-09</x:v>
      </x:c>
      <x:c r="G286" s="29"/>
      <x:c r="H286" s="29"/>
      <x:c r="I286" s="28" t="str">
        <x:v>Halted</x:v>
      </x:c>
      <x:c r="J286" s="30"/>
      <x:c r="K286" s="30"/>
      <x:c r="L286" s="28" t="str">
        <x:v>15-1252</x:v>
      </x:c>
      <x:c r="M286" s="28" t="str">
        <x:v>Software Developers</x:v>
      </x:c>
      <x:c r="N286" s="31" t="str">
        <x:v>Not evaluated further because the employer explicitly excludes visa sponsorship.</x:v>
      </x:c>
      <x:c r="O286" s="31" t="str">
        <x:v>Remote U.S.</x:v>
      </x:c>
      <x:c r="P286" s="31"/>
      <x:c r="Q286" s="31" t="str">
        <x:v>Remote</x:v>
      </x:c>
      <x:c r="R286" s="31" t="str">
        <x:v>Incompatible: the posting explicitly states visa sponsorship is not available.</x:v>
      </x:c>
      <x:c r="S286" s="31" t="str">
        <x:v>Strong technical fit; visa-incompatible</x:v>
      </x:c>
      <x:c r="T286" s="31" t="str">
        <x:v>Junior AI/full-stack scope, React, APIs, SQL and AI tooling fit, but the role requires .NET/C# and explicitly denies sponsorship.</x:v>
      </x:c>
      <x:c r="U286" s="31" t="str">
        <x:v>Not used</x:v>
      </x:c>
      <x:c r="V286" s="31" t="str">
        <x:v>None</x:v>
      </x:c>
      <x:c r="W286" s="31" t="str">
        <x:v>Skipped immediately after the explicit no-sponsorship statement was verified in the full description.</x:v>
      </x:c>
    </x:row>
    <x:row r="287">
      <x:c r="A287" s="28" t="str">
        <x:v>Applied Intuition</x:v>
      </x:c>
      <x:c r="B287" s="28" t="str">
        <x:v>Software Integration Engineer - New Grad (2027)</x:v>
      </x:c>
      <x:c r="C287" s="28" t="str">
        <x:v>https://www.linkedin.com/jobs/view/4453739773/</x:v>
      </x:c>
      <x:c r="D287" s="28" t="str">
        <x:v>Not opened; halted after full LinkedIn description review</x:v>
      </x:c>
      <x:c r="E287" s="29" t="str">
        <x:v>LinkedIn reposted 2026-09-05</x:v>
      </x:c>
      <x:c r="F287" s="29" t="str">
        <x:v>2026-09-09</x:v>
      </x:c>
      <x:c r="G287" s="29"/>
      <x:c r="H287" s="29"/>
      <x:c r="I287" s="28" t="str">
        <x:v>Halted</x:v>
      </x:c>
      <x:c r="J287" s="30" t="n">
        <x:v>123000</x:v>
      </x:c>
      <x:c r="K287" s="30" t="n">
        <x:v>158000</x:v>
      </x:c>
      <x:c r="L287" s="28" t="str">
        <x:v>15-1252</x:v>
      </x:c>
      <x:c r="M287" s="28" t="str">
        <x:v>Software Developers</x:v>
      </x:c>
      <x:c r="N287" s="31" t="str">
        <x:v>Only offers at or above the Sunnyvale Level 1 threshold qualify; the published range reaches that threshold only near its upper portion.</x:v>
      </x:c>
      <x:c r="O287" s="31" t="str">
        <x:v>Sunnyvale, CA</x:v>
      </x:c>
      <x:c r="P287" s="31"/>
      <x:c r="Q287" s="31" t="str">
        <x:v>On-site five days per week</x:v>
      </x:c>
      <x:c r="R287" s="31" t="str">
        <x:v>Company application permits future sponsorship disclosure on other new-grad requisitions; not the reason for rejection.</x:v>
      </x:c>
      <x:c r="S287" s="31" t="str">
        <x:v>Low technical fit</x:v>
      </x:c>
      <x:c r="T287" s="31" t="str">
        <x:v>The role requires strong C/C++, electronic-system debugging, automotive hardware integration and test-rig work, which are not supported by the resume.</x:v>
      </x:c>
      <x:c r="U287" s="31" t="str">
        <x:v>Not used</x:v>
      </x:c>
      <x:c r="V287" s="31" t="str">
        <x:v>None</x:v>
      </x:c>
      <x:c r="W287" s="31" t="str">
        <x:v>Skipped as a distinct Applied Intuition team because its mandatory embedded/hardware background is materially outside the candidate profile.</x:v>
      </x:c>
    </x:row>
    <x:row r="288">
      <x:c r="A288" s="28" t="str">
        <x:v>Applied Intuition</x:v>
      </x:c>
      <x:c r="B288" s="28" t="str">
        <x:v>Research Engineer - New Grad (2027)</x:v>
      </x:c>
      <x:c r="C288" s="28" t="str">
        <x:v>https://www.linkedin.com/jobs/view/4453756652/</x:v>
      </x:c>
      <x:c r="D288" s="28" t="str">
        <x:v>Not opened; halted after full LinkedIn description review</x:v>
      </x:c>
      <x:c r="E288" s="29" t="str">
        <x:v>LinkedIn reposted 2026-09-05</x:v>
      </x:c>
      <x:c r="F288" s="29" t="str">
        <x:v>2026-09-09</x:v>
      </x:c>
      <x:c r="G288" s="29"/>
      <x:c r="H288" s="29"/>
      <x:c r="I288" s="28" t="str">
        <x:v>Halted</x:v>
      </x:c>
      <x:c r="J288" s="30" t="n">
        <x:v>140000</x:v>
      </x:c>
      <x:c r="K288" s="30" t="n">
        <x:v>200000</x:v>
      </x:c>
      <x:c r="L288" s="28" t="str">
        <x:v>15-2051</x:v>
      </x:c>
      <x:c r="M288" s="28" t="str">
        <x:v>Data Scientists</x:v>
      </x:c>
      <x:c r="N288" s="31" t="str">
        <x:v>The range is potentially wage-compatible, but technical eligibility fails before wage prioritization.</x:v>
      </x:c>
      <x:c r="O288" s="31" t="str">
        <x:v>Sunnyvale, CA</x:v>
      </x:c>
      <x:c r="P288" s="31"/>
      <x:c r="Q288" s="31" t="str">
        <x:v>On-site five days per week</x:v>
      </x:c>
      <x:c r="R288" s="31" t="str">
        <x:v>No explicit exclusion in the posting.</x:v>
      </x:c>
      <x:c r="S288" s="31" t="str">
        <x:v>Low technical fit</x:v>
      </x:c>
      <x:c r="T288" s="31" t="str">
        <x:v>Mandatory experience in computer vision, robotics/autonomy, PyTorch and distributed model training is not supported by the resume.</x:v>
      </x:c>
      <x:c r="U288" s="31" t="str">
        <x:v>Not used</x:v>
      </x:c>
      <x:c r="V288" s="31" t="str">
        <x:v>None</x:v>
      </x:c>
      <x:c r="W288" s="31" t="str">
        <x:v>Skipped after full review despite attractive compensation because the core research specialization is materially mismatched.</x:v>
      </x:c>
    </x:row>
    <x:row r="289">
      <x:c r="A289" s="28" t="str">
        <x:v>OpenArt / TierZero</x:v>
      </x:c>
      <x:c r="B289" s="28" t="str">
        <x:v>Software Engineer, Agent</x:v>
      </x:c>
      <x:c r="C289" s="28" t="str">
        <x:v>https://www.linkedin.com/jobs/view/4465085363/</x:v>
      </x:c>
      <x:c r="D289" s="28" t="str">
        <x:v>https://jobs.ashbyhq.com/embedding-vc/5d382f97-5444-45b6-b491-140e88d151a7/application</x:v>
      </x:c>
      <x:c r="E289" s="29" t="str">
        <x:v>LinkedIn posted 2026-09-09</x:v>
      </x:c>
      <x:c r="F289" s="29" t="str">
        <x:v>2026-09-09</x:v>
      </x:c>
      <x:c r="G289" s="29" t="str">
        <x:v>2026-09-09</x:v>
      </x:c>
      <x:c r="H289" s="29" t="str">
        <x:v>2026-09-09</x:v>
      </x:c>
      <x:c r="I289" s="28" t="str">
        <x:v>Submitted</x:v>
      </x:c>
      <x:c r="J289" s="30" t="n">
        <x:v>300000</x:v>
      </x:c>
      <x:c r="K289" s="30"/>
      <x:c r="L289" s="28" t="str">
        <x:v>15-1252</x:v>
      </x:c>
      <x:c r="M289" s="28" t="str">
        <x:v>Software Developers</x:v>
      </x:c>
      <x:c r="N289" s="31" t="str">
        <x:v>The posting states $300K+ total compensation but does not separate base salary. Even if a substantial portion is equity/bonus, the package strongly suggests capacity to clear the San Francisco Level 1 threshold; base salary must still be confirmed during interviews.</x:v>
      </x:c>
      <x:c r="O289" s="31" t="str">
        <x:v>San Francisco Bay Area</x:v>
      </x:c>
      <x:c r="P289" s="31"/>
      <x:c r="Q289" s="31" t="str">
        <x:v>On-site; Bay Area preferred with hybrid available</x:v>
      </x:c>
      <x:c r="R289" s="31" t="str">
        <x:v>Explicitly compatible: the full posting states visa sponsorship is available.</x:v>
      </x:c>
      <x:c r="S289" s="31" t="str">
        <x:v>Exceptional technical fit; high-value stretch</x:v>
      </x:c>
      <x:c r="T289" s="31" t="str">
        <x:v>Direct overlap with agent harnesses, MCP servers, CLI tooling, context/session management, multi-step orchestration, evaluation/observability, React and production LLM systems. The main gap is the requested 2+ years of full-stack experience.</x:v>
      </x:c>
      <x:c r="U289" s="31" t="str">
        <x:v>Yuxuan_Chen_Resume_Giga_Software_Engineer_AI_Agents_20260907.pdf</x:v>
      </x:c>
      <x:c r="V289" s="31" t="str">
        <x:v>None</x:v>
      </x:c>
      <x:c r="W289" s="31" t="str">
        <x:v>Submitted successfully through the official Ashby form on 2026-09-09. Authoritative confirmation: Success; application successfully submitted. The employer identity is OpenArt under the Embedding VC/TierZero Ashby board; the posting explicitly confirms visa sponsorship.</x:v>
      </x:c>
    </x:row>
    <x:row r="290">
      <x:c r="A290" s="28" t="str">
        <x:v>DoorDash</x:v>
      </x:c>
      <x:c r="B290" s="28" t="str">
        <x:v>Software Engineer, Backend (All Teams)</x:v>
      </x:c>
      <x:c r="C290" s="28" t="str">
        <x:v>https://www.linkedin.com/jobs/view/4465088050/</x:v>
      </x:c>
      <x:c r="D290" s="28" t="str">
        <x:v>https://job-boards.greenhouse.io/doordashusa/jobs/5630445</x:v>
      </x:c>
      <x:c r="E290" s="29" t="str">
        <x:v>LinkedIn posted 2026-09-09</x:v>
      </x:c>
      <x:c r="F290" s="29" t="str">
        <x:v>2026-09-09</x:v>
      </x:c>
      <x:c r="G290" s="29" t="str">
        <x:v>2026-09-09</x:v>
      </x:c>
      <x:c r="H290" s="29" t="str">
        <x:v>2026-09-09</x:v>
      </x:c>
      <x:c r="I290" s="28" t="str">
        <x:v>Rejected</x:v>
      </x:c>
      <x:c r="J290" s="30" t="n">
        <x:v>130600</x:v>
      </x:c>
      <x:c r="K290" s="30" t="n">
        <x:v>192000</x:v>
      </x:c>
      <x:c r="L290" s="28" t="str">
        <x:v>15-1252</x:v>
      </x:c>
      <x:c r="M290" s="28" t="str">
        <x:v>Software Developers</x:v>
      </x:c>
      <x:c r="N290" s="31" t="str">
        <x:v>The I4 national base range is $130,600-$192,000. It clears Level 1 in Ann Arbor and Seattle-area comparisons at substantial portions of the range; for Bay Area and New York, the final offer must be checked against the selected worksite threshold. Higher I5/I6 ranges were not claimed because Early Career E3 was selected.</x:v>
      </x:c>
      <x:c r="O290" s="31" t="str">
        <x:v>New York City, NY</x:v>
      </x:c>
      <x:c r="P290" s="31" t="str">
        <x:v>Bay Area, CA; Seattle, WA; Ann Arbor, MI</x:v>
      </x:c>
      <x:c r="Q290" s="31" t="str">
        <x:v>Hybrid, two office days per week</x:v>
      </x:c>
      <x:c r="R290" s="31" t="str">
        <x:v>Compatible based on DoorDash sponsorship capability; application disclosed no current employer filing need and future immigration sponsorship required.</x:v>
      </x:c>
      <x:c r="S290" s="31" t="str">
        <x:v>Strong high-value stretch</x:v>
      </x:c>
      <x:c r="T290" s="31" t="str">
        <x:v>REST APIs, service-oriented architecture, PostgreSQL, scalable backend systems, testing, AI coding tools and production operations match. The main gap is the requested 2+ years of non-internship industry experience.</x:v>
      </x:c>
      <x:c r="U290" s="31" t="str">
        <x:v>Yuxuan_Chen_Resume_Giga_Software_Engineer_AI_Agents_20260907.pdf</x:v>
      </x:c>
      <x:c r="V290" s="31" t="str">
        <x:v>None</x:v>
      </x:c>
      <x:c r="W290" s="31" t="str">
        <x:v>Submitted successfully through the official DoorDash Greenhouse form on 2026-09-09. Answers included current authorization Yes, current sponsorship No, future sponsorship Yes, less than two years excluding internships, Early Career E3, and $180K-$220K target total compensation. Rejection received by email on 2026-09-11 at 12:00 PM ET; DoorDash decided not to move forward with this application.</x:v>
      </x:c>
    </x:row>
    <x:row r="291">
      <x:c r="A291" s="28" t="str">
        <x:v>Notion</x:v>
      </x:c>
      <x:c r="B291" s="28" t="str">
        <x:v>Software Engineer, Early Career</x:v>
      </x:c>
      <x:c r="C291" s="28" t="str">
        <x:v>https://www.linkedin.com/jobs/view/4437461678/</x:v>
      </x:c>
      <x:c r="D291" s="28" t="str">
        <x:v>Not opened; halted after full LinkedIn description review</x:v>
      </x:c>
      <x:c r="E291" s="29" t="str">
        <x:v>LinkedIn reposted 2026-09-08</x:v>
      </x:c>
      <x:c r="F291" s="29" t="str">
        <x:v>2026-09-09</x:v>
      </x:c>
      <x:c r="G291" s="29"/>
      <x:c r="H291" s="29"/>
      <x:c r="I291" s="28" t="str">
        <x:v>Halted</x:v>
      </x:c>
      <x:c r="J291" s="30" t="n">
        <x:v>130000</x:v>
      </x:c>
      <x:c r="K291" s="30" t="n">
        <x:v>150000</x:v>
      </x:c>
      <x:c r="L291" s="28" t="str">
        <x:v>15-1252</x:v>
      </x:c>
      <x:c r="M291" s="28" t="str">
        <x:v>Software Developers</x:v>
      </x:c>
      <x:c r="N291" s="31" t="str">
        <x:v>The range can clear Level 1 depending on San Francisco or New York offer location, but start-date incompatibility controls this decision.</x:v>
      </x:c>
      <x:c r="O291" s="31" t="str">
        <x:v>New York, NY</x:v>
      </x:c>
      <x:c r="P291" s="31" t="str">
        <x:v>San Francisco, CA</x:v>
      </x:c>
      <x:c r="Q291" s="31" t="str">
        <x:v>On-site/hybrid</x:v>
      </x:c>
      <x:c r="R291" s="31" t="str">
        <x:v>Not the controlling issue; the candidate already submitted Notion New Grad with future sponsorship disclosed.</x:v>
      </x:c>
      <x:c r="S291" s="31" t="str">
        <x:v>Exceptional technical fit; start-date incompatible</x:v>
      </x:c>
      <x:c r="T291" s="31" t="str">
        <x:v>React, TypeScript, Node.js, Postgres, product engineering and platform work fit directly, but the posting explicitly requires immediate full-time availability.</x:v>
      </x:c>
      <x:c r="U291" s="31" t="str">
        <x:v>Not used</x:v>
      </x:c>
      <x:c r="V291" s="31" t="str">
        <x:v>None</x:v>
      </x:c>
      <x:c r="W291" s="31" t="str">
        <x:v>Skipped because the posting explicitly says this is not a new-grad role and candidates must be able to start full time right away; OPT begins 2027-02-18.</x:v>
      </x:c>
    </x:row>
    <x:row r="292">
      <x:c r="A292" s="28" t="str">
        <x:v>GlobalFoundries</x:v>
      </x:c>
      <x:c r="B292" s="28" t="str">
        <x:v>Systems Engineer (2027 New College Graduate)</x:v>
      </x:c>
      <x:c r="C292" s="28" t="str">
        <x:v>https://www.linkedin.com/jobs/view/4463571102/</x:v>
      </x:c>
      <x:c r="D292" s="28" t="str">
        <x:v>https://careers.gf.com/careers/job/563980770505795?source=LinkedIn</x:v>
      </x:c>
      <x:c r="E292" s="29" t="str">
        <x:v>2026-09-09</x:v>
      </x:c>
      <x:c r="F292" s="29" t="str">
        <x:v>2026-09-09</x:v>
      </x:c>
      <x:c r="G292" s="29"/>
      <x:c r="H292" s="29"/>
      <x:c r="I292" s="28" t="str">
        <x:v>Submitted</x:v>
      </x:c>
      <x:c r="J292" s="30" t="n">
        <x:v>72000</x:v>
      </x:c>
      <x:c r="K292" s="30" t="n">
        <x:v>124800</x:v>
      </x:c>
      <x:c r="L292" s="28" t="str">
        <x:v>15-1252</x:v>
      </x:c>
      <x:c r="M292" s="28" t="str">
        <x:v>Software Developers</x:v>
      </x:c>
      <x:c r="N292" s="31" t="str">
        <x:v>Richardson/Plano, TX wage compatibility depends on the final offer: only the upper part of the posted $72,000-$124,800 range is expected to clear the applicable Level 1 prevailing wage. Preserve Level 1 as the offer floor.</x:v>
      </x:c>
      <x:c r="O292" s="31" t="str">
        <x:v>Richardson, TX</x:v>
      </x:c>
      <x:c r="P292" s="31" t="str">
        <x:v>Plano, TX</x:v>
      </x:c>
      <x:c r="Q292" s="31" t="str">
        <x:v>On-site</x:v>
      </x:c>
      <x:c r="R292" s="31" t="str">
        <x:v>Candidate disclosed that she will now or in the future require visa sponsorship; application accepted and submitted.</x:v>
      </x:c>
      <x:c r="S292" s="31" t="str">
        <x:v>Strong early-career fit</x:v>
      </x:c>
      <x:c r="T292" s="31" t="str">
        <x:v>Exact 2027 new-college-graduate timing and relevant Python, AI/ML, Docker, systems experimentation, APIs and automation experience; robotics and embedded frameworks are preferred rather than core requirements.</x:v>
      </x:c>
      <x:c r="U292" s="31" t="str">
        <x:v>Yuxuan_Chen_Resume_Giga_Software_Engineer_AI_Agents_20260907.pdf</x:v>
      </x:c>
      <x:c r="V292" s="31" t="str">
        <x:v>None</x:v>
      </x:c>
      <x:c r="W292" s="31" t="str">
        <x:v>Submitted 2026-09-09. Official confirmation displayed: Thank you for your application, Yuxuan. Optional transcript was not provided.</x:v>
      </x:c>
    </x:row>
    <x:row r="293">
      <x:c r="A293" s="28" t="str">
        <x:v>Huron</x:v>
      </x:c>
      <x:c r="B293" s="28" t="str">
        <x:v>GenAI Engineer, Associate</x:v>
      </x:c>
      <x:c r="C293" s="28" t="str">
        <x:v>https://www.linkedin.com/jobs/view/4450180326/</x:v>
      </x:c>
      <x:c r="D293" s="28" t="str">
        <x:v>https://huron.wd1.myworkdayjobs.com/huroncareers/job/Chicago---550-Van-Buren/GenAI-Engineer--Associate_JR-0015456</x:v>
      </x:c>
      <x:c r="E293" s="29" t="str">
        <x:v>LinkedIn reposted 2026-09-03; official posting 28 days old</x:v>
      </x:c>
      <x:c r="F293" s="29" t="str">
        <x:v>2026-09-09</x:v>
      </x:c>
      <x:c r="G293" s="29"/>
      <x:c r="H293" s="29"/>
      <x:c r="I293" s="28" t="str">
        <x:v>Rejected</x:v>
      </x:c>
      <x:c r="J293" s="30" t="n">
        <x:v>85000</x:v>
      </x:c>
      <x:c r="K293" s="30" t="n">
        <x:v>110000</x:v>
      </x:c>
      <x:c r="L293" s="28" t="str">
        <x:v>15-2051</x:v>
      </x:c>
      <x:c r="M293" s="28" t="str">
        <x:v>Data Scientists</x:v>
      </x:c>
      <x:c r="N293" s="31" t="str">
        <x:v>Remote role is anchored to Chicago. The range can clear a Chicago-area Level 1 wage toward the upper portion, but the final H-1B worksite and offer must be confirmed.</x:v>
      </x:c>
      <x:c r="O293" s="31" t="str">
        <x:v>Remote from Massachusetts</x:v>
      </x:c>
      <x:c r="P293" s="31" t="str">
        <x:v>Chicago, IL anchor; United States remote</x:v>
      </x:c>
      <x:c r="Q293" s="31" t="str">
        <x:v>Remote</x:v>
      </x:c>
      <x:c r="R293" s="31" t="str">
        <x:v>Not stated in the posting; apply under the user-approved rule for employers with possible historical sponsorship, disclosing future sponsorship truthfully.</x:v>
      </x:c>
      <x:c r="S293" s="31" t="str">
        <x:v>Strong</x:v>
      </x:c>
      <x:c r="T293" s="31" t="str">
        <x:v>Direct match to agentic workflows, MCP, model evaluation, OpenAI APIs, automation, documentation and AI implementation. The 2-4 year guideline is slightly above formal experience but aligned with project depth.</x:v>
      </x:c>
      <x:c r="U293" s="31" t="str">
        <x:v>Yuxuan_Chen_Resume_Giga_Software_Engineer_AI_Agents_20260907.pdf</x:v>
      </x:c>
      <x:c r="V293" s="31" t="str">
        <x:v>None</x:v>
      </x:c>
      <x:c r="W293" s="31" t="str">
        <x:v>Rejected by email on 2026-09-10 for GenAI Engineer, Associate. Huron stated it moved forward with other candidates. Original application was submitted 2026-09-09 under requisition JR-0015456.</x:v>
      </x:c>
    </x:row>
    <x:row r="294">
      <x:c r="A294" s="28" t="str">
        <x:v>Demiurge Studios</x:v>
      </x:c>
      <x:c r="B294" s="28" t="str">
        <x:v>2027 Associate Software Engineer</x:v>
      </x:c>
      <x:c r="C294" s="28" t="str">
        <x:v>https://www.linkedin.com/jobs/view/4464685818/</x:v>
      </x:c>
      <x:c r="D294" s="28" t="str">
        <x:v>https://jobs.lever.co/demiurgestudios/85f401d2-5242-4096-b852-2947492d0035/apply?source=LinkedIn</x:v>
      </x:c>
      <x:c r="E294" s="29" t="str">
        <x:v>2026-09-08</x:v>
      </x:c>
      <x:c r="F294" s="29" t="str">
        <x:v>2026-09-09</x:v>
      </x:c>
      <x:c r="G294" s="29"/>
      <x:c r="H294" s="29"/>
      <x:c r="I294" s="28" t="str">
        <x:v>Halted</x:v>
      </x:c>
      <x:c r="J294" s="30" t="n">
        <x:v>80000</x:v>
      </x:c>
      <x:c r="K294" s="30" t="n">
        <x:v>90000</x:v>
      </x:c>
      <x:c r="L294" s="28" t="str">
        <x:v>15-1252</x:v>
      </x:c>
      <x:c r="M294" s="28" t="str">
        <x:v>Software Developers</x:v>
      </x:c>
      <x:c r="N294" s="31" t="str">
        <x:v>Although this is U.S. remote and Boston-based, the $80,000-$90,000 maximum is below the expected Boston-area Level 1 wage for Software Developers.</x:v>
      </x:c>
      <x:c r="O294" s="31" t="str">
        <x:v>Remote from Massachusetts</x:v>
      </x:c>
      <x:c r="P294" s="31" t="str">
        <x:v>United States remote; Boston headquarters</x:v>
      </x:c>
      <x:c r="Q294" s="31" t="str">
        <x:v>Remote/flexible</x:v>
      </x:c>
      <x:c r="R294" s="31" t="str">
        <x:v>Not stated; wage incompatibility controls the decision.</x:v>
      </x:c>
      <x:c r="S294" s="31" t="str">
        <x:v>Moderate technical fit; wage incompatible</x:v>
      </x:c>
      <x:c r="T294" s="31" t="str">
        <x:v>Exact 2027 graduate timing and core CS requirements fit, but game-engine/C++ experience is only partial and the salary ceiling does not meet the target wage floor.</x:v>
      </x:c>
      <x:c r="U294" s="31" t="str">
        <x:v>Not used</x:v>
      </x:c>
      <x:c r="V294" s="31" t="str">
        <x:v>None</x:v>
      </x:c>
      <x:c r="W294" s="31" t="str">
        <x:v>Skipped after full official-description review because the entire posted base range is below the expected Massachusetts Level 1 requirement.</x:v>
      </x:c>
    </x:row>
    <x:row r="295">
      <x:c r="A295" s="28" t="str">
        <x:v>New Relic</x:v>
      </x:c>
      <x:c r="B295" s="28" t="str">
        <x:v>Associate Software Engineer - Java (Distributed Systems and Databases)</x:v>
      </x:c>
      <x:c r="C295" s="28" t="str">
        <x:v>https://www.linkedin.com/jobs/view/4454842240/</x:v>
      </x:c>
      <x:c r="D295" s="28" t="str">
        <x:v>Not opened; halted after full LinkedIn description review</x:v>
      </x:c>
      <x:c r="E295" s="29" t="str">
        <x:v>LinkedIn reposted 2026-09-09</x:v>
      </x:c>
      <x:c r="F295" s="29" t="str">
        <x:v>2026-09-09</x:v>
      </x:c>
      <x:c r="G295" s="29"/>
      <x:c r="H295" s="29"/>
      <x:c r="I295" s="28" t="str">
        <x:v>Halted</x:v>
      </x:c>
      <x:c r="J295" s="30" t="n">
        <x:v>98000</x:v>
      </x:c>
      <x:c r="K295" s="30" t="n">
        <x:v>123000</x:v>
      </x:c>
      <x:c r="L295" s="28" t="str">
        <x:v>15-1252</x:v>
      </x:c>
      <x:c r="M295" s="28" t="str">
        <x:v>Software Developers</x:v>
      </x:c>
      <x:c r="N295" s="31" t="str">
        <x:v>The remote range may clear Level 1 depending on the employing worksite, but sponsorship incompatibility is explicit.</x:v>
      </x:c>
      <x:c r="O295" s="31" t="str">
        <x:v>Remote</x:v>
      </x:c>
      <x:c r="P295" s="31" t="str">
        <x:v>Portland, OR listing anchor</x:v>
      </x:c>
      <x:c r="Q295" s="31" t="str">
        <x:v>Remote</x:v>
      </x:c>
      <x:c r="R295" s="31" t="str">
        <x:v>Posting explicitly states visa sponsorship is not available for this position.</x:v>
      </x:c>
      <x:c r="S295" s="31" t="str">
        <x:v>Strong technical fit; sponsorship incompatible</x:v>
      </x:c>
      <x:c r="T295" s="31" t="str">
        <x:v>Java, algorithms, databases, cloud, Docker and distributed systems are relevant, but the explicit no-sponsorship statement is disqualifying.</x:v>
      </x:c>
      <x:c r="U295" s="31" t="str">
        <x:v>Not used</x:v>
      </x:c>
      <x:c r="V295" s="31" t="str">
        <x:v>None</x:v>
      </x:c>
      <x:c r="W295" s="31" t="str">
        <x:v>Skipped immediately after full description review due explicit no visa sponsorship.</x:v>
      </x:c>
    </x:row>
    <x:row r="296">
      <x:c r="A296" s="28" t="str">
        <x:v>Huron</x:v>
      </x:c>
      <x:c r="B296" s="28" t="str">
        <x:v>Data Engineer - AI, Agents, &amp; Context - Revenue Cycle (Associate)</x:v>
      </x:c>
      <x:c r="C296" s="28" t="str">
        <x:v>Not captured; discovered through the official Huron related-jobs panel</x:v>
      </x:c>
      <x:c r="D296" s="28" t="str">
        <x:v>https://huron.wd1.myworkdayjobs.com/huroncareers/job/Chicago---550-Van-Buren/Data-Engineer---AI--Agents----Context---Revenue-Cycle--Associate-_JR-0015244</x:v>
      </x:c>
      <x:c r="E296" s="29" t="str">
        <x:v>Official posting 29 days old</x:v>
      </x:c>
      <x:c r="F296" s="29" t="str">
        <x:v>2026-09-09</x:v>
      </x:c>
      <x:c r="G296" s="29"/>
      <x:c r="H296" s="29"/>
      <x:c r="I296" s="28" t="str">
        <x:v>Halted</x:v>
      </x:c>
      <x:c r="J296" s="30" t="n">
        <x:v>95000</x:v>
      </x:c>
      <x:c r="K296" s="30" t="n">
        <x:v>130000</x:v>
      </x:c>
      <x:c r="L296" s="28" t="str">
        <x:v>15-1243</x:v>
      </x:c>
      <x:c r="M296" s="28" t="str">
        <x:v>Database Architects</x:v>
      </x:c>
      <x:c r="N296" s="31" t="str">
        <x:v>The Chicago-anchored remote range is potentially wage-compatible, but qualification mismatch controls the decision.</x:v>
      </x:c>
      <x:c r="O296" s="31" t="str">
        <x:v>Remote from Massachusetts</x:v>
      </x:c>
      <x:c r="P296" s="31" t="str">
        <x:v>Chicago, IL anchor; United States remote</x:v>
      </x:c>
      <x:c r="Q296" s="31" t="str">
        <x:v>Remote</x:v>
      </x:c>
      <x:c r="R296" s="31" t="str">
        <x:v>Not stated.</x:v>
      </x:c>
      <x:c r="S296" s="31" t="str">
        <x:v>Moderate-low</x:v>
      </x:c>
      <x:c r="T296" s="31" t="str">
        <x:v>Python, SQL, RAG, embeddings and retrieval align, but the posting requires 3-6 years of data-platform experience and hands-on production Snowflake operations at scale.</x:v>
      </x:c>
      <x:c r="U296" s="31" t="str">
        <x:v>Not used</x:v>
      </x:c>
      <x:c r="V296" s="31" t="str">
        <x:v>None</x:v>
      </x:c>
      <x:c r="W296" s="31" t="str">
        <x:v>Skipped in favor of the much stronger Huron GenAI Engineer Associate application.</x:v>
      </x:c>
    </x:row>
    <x:row r="297">
      <x:c r="A297" s="28" t="str">
        <x:v>Chainlink Labs</x:v>
      </x:c>
      <x:c r="B297" s="28" t="str">
        <x:v>Software Engineer I, CCIP</x:v>
      </x:c>
      <x:c r="C297" s="28" t="str">
        <x:v>https://www.linkedin.com/jobs/view/4445990602/</x:v>
      </x:c>
      <x:c r="D297" s="28" t="str">
        <x:v>https://jobs.ashbyhq.com/chainlink-labs/8485e325-111f-4370-b3c6-0ed95872144f</x:v>
      </x:c>
      <x:c r="E297" s="29" t="str">
        <x:v>LinkedIn reposted 2026-09-08</x:v>
      </x:c>
      <x:c r="F297" s="29" t="str">
        <x:v>2026-09-09</x:v>
      </x:c>
      <x:c r="G297" s="29"/>
      <x:c r="H297" s="29"/>
      <x:c r="I297" s="28" t="str">
        <x:v>Halted</x:v>
      </x:c>
      <x:c r="J297" s="30"/>
      <x:c r="K297" s="30"/>
      <x:c r="L297" s="28" t="str">
        <x:v>15-1252</x:v>
      </x:c>
      <x:c r="M297" s="28" t="str">
        <x:v>Software Developers</x:v>
      </x:c>
      <x:c r="N297" s="31" t="str">
        <x:v>Truly global remote, but no salary range is disclosed; a U.S. H-1B worksite wage cannot be validated from the posting.</x:v>
      </x:c>
      <x:c r="O297" s="31" t="str">
        <x:v>Remote from Massachusetts</x:v>
      </x:c>
      <x:c r="P297" s="31" t="str">
        <x:v>Global remote with EST overlap</x:v>
      </x:c>
      <x:c r="Q297" s="31" t="str">
        <x:v>Remote from anywhere</x:v>
      </x:c>
      <x:c r="R297" s="31" t="str">
        <x:v>Not stated; global remote structure is favorable but does not overcome the experience mismatch.</x:v>
      </x:c>
      <x:c r="S297" s="31" t="str">
        <x:v>Low-moderate</x:v>
      </x:c>
      <x:c r="T297" s="31" t="str">
        <x:v>TypeScript, cloud and distributed-systems fundamentals overlap, but the role requires production backend ownership plus crypto/DeFi and cross-chain protocol experience.</x:v>
      </x:c>
      <x:c r="U297" s="31" t="str">
        <x:v>Not used</x:v>
      </x:c>
      <x:c r="V297" s="31" t="str">
        <x:v>None</x:v>
      </x:c>
      <x:c r="W297" s="31" t="str">
        <x:v>Skipped after full description review because production blockchain/DeFi experience is a central requirement.</x:v>
      </x:c>
    </x:row>
    <x:row r="298">
      <x:c r="A298" s="28" t="str">
        <x:v>Jobright.ai</x:v>
      </x:c>
      <x:c r="B298" s="28" t="str">
        <x:v>Generative AI Engineer, Entry Level</x:v>
      </x:c>
      <x:c r="C298" s="28" t="str">
        <x:v>https://www.linkedin.com/jobs/view/4464103119/</x:v>
      </x:c>
      <x:c r="D298" s="28" t="str">
        <x:v>https://jobright.ai/jobs/info/b2b_1786350936328_613</x:v>
      </x:c>
      <x:c r="E298" s="29" t="str">
        <x:v>2026-09-09</x:v>
      </x:c>
      <x:c r="F298" s="29" t="str">
        <x:v>2026-09-09</x:v>
      </x:c>
      <x:c r="G298" s="29"/>
      <x:c r="H298" s="29"/>
      <x:c r="I298" s="28" t="str">
        <x:v>Halted</x:v>
      </x:c>
      <x:c r="J298" s="30"/>
      <x:c r="K298" s="30"/>
      <x:c r="L298" s="28" t="str">
        <x:v>15-2051</x:v>
      </x:c>
      <x:c r="M298" s="28" t="str">
        <x:v>Data Scientists</x:v>
      </x:c>
      <x:c r="N298" s="31" t="str">
        <x:v>Remote U.S. salary and employing worksite are undisclosed; the explicit No H1B designation is independently disqualifying.</x:v>
      </x:c>
      <x:c r="O298" s="31" t="str">
        <x:v>Remote from Massachusetts</x:v>
      </x:c>
      <x:c r="P298" s="31" t="str">
        <x:v>United States remote; Santa Clara company base</x:v>
      </x:c>
      <x:c r="Q298" s="31" t="str">
        <x:v>Remote</x:v>
      </x:c>
      <x:c r="R298" s="31" t="str">
        <x:v>Official Jobright role page explicitly displays No H1B.</x:v>
      </x:c>
      <x:c r="S298" s="31" t="str">
        <x:v>Exceptional technical fit; sponsorship incompatible</x:v>
      </x:c>
      <x:c r="T298" s="31" t="str">
        <x:v>New-grad timing plus Python, LLM APIs, RAG, agents, evaluation, quality, latency and cost work closely match the resume, but sponsorship is unavailable.</x:v>
      </x:c>
      <x:c r="U298" s="31" t="str">
        <x:v>Not used</x:v>
      </x:c>
      <x:c r="V298" s="31" t="str">
        <x:v>None</x:v>
      </x:c>
      <x:c r="W298" s="31" t="str">
        <x:v>Skipped after authoritative employer-page sponsorship review.</x:v>
      </x:c>
    </x:row>
    <x:row r="299">
      <x:c r="A299" s="28" t="str">
        <x:v>Jobright.ai</x:v>
      </x:c>
      <x:c r="B299" s="28" t="str">
        <x:v>AI Engineer, Generative AI — New Grad</x:v>
      </x:c>
      <x:c r="C299" s="28" t="str">
        <x:v>https://www.linkedin.com/jobs/view/4464146180/</x:v>
      </x:c>
      <x:c r="D299" s="28" t="str">
        <x:v>https://jobright.ai/jobs/info/b2b_1785746725355_639</x:v>
      </x:c>
      <x:c r="E299" s="29" t="str">
        <x:v>2026-09-09; approximately 8 minutes old when reviewed</x:v>
      </x:c>
      <x:c r="F299" s="29" t="str">
        <x:v>2026-09-09</x:v>
      </x:c>
      <x:c r="G299" s="29"/>
      <x:c r="H299" s="29"/>
      <x:c r="I299" s="28" t="str">
        <x:v>Halted</x:v>
      </x:c>
      <x:c r="J299" s="30"/>
      <x:c r="K299" s="30"/>
      <x:c r="L299" s="28" t="str">
        <x:v>15-2051</x:v>
      </x:c>
      <x:c r="M299" s="28" t="str">
        <x:v>Data Scientists</x:v>
      </x:c>
      <x:c r="N299" s="31" t="str">
        <x:v>Remote U.S. salary and employing worksite are undisclosed; the employer page explicitly marks the role No H1B, which independently makes it incompatible.</x:v>
      </x:c>
      <x:c r="O299" s="31" t="str">
        <x:v>Remote from Massachusetts</x:v>
      </x:c>
      <x:c r="P299" s="31" t="str">
        <x:v>United States remote; Santa Clara company base</x:v>
      </x:c>
      <x:c r="Q299" s="31" t="str">
        <x:v>Remote</x:v>
      </x:c>
      <x:c r="R299" s="31" t="str">
        <x:v>Official Jobright role page explicitly displays No H1B.</x:v>
      </x:c>
      <x:c r="S299" s="31" t="str">
        <x:v>Exceptional technical fit; sponsorship incompatible</x:v>
      </x:c>
      <x:c r="T299" s="31" t="str">
        <x:v>Python, LLM workflows, RAG, agents, evaluation, latency and cost optimization closely match the resume, but the explicit No H1B designation conflicts with required future sponsorship.</x:v>
      </x:c>
      <x:c r="U299" s="31" t="str">
        <x:v>Not used</x:v>
      </x:c>
      <x:c r="V299" s="31" t="str">
        <x:v>None</x:v>
      </x:c>
      <x:c r="W299" s="31" t="str">
        <x:v>Skipped immediately after full LinkedIn and employer-page review because future H-1B sponsorship is explicitly unavailable.</x:v>
      </x:c>
    </x:row>
    <x:row r="300">
      <x:c r="A300" s="28" t="str">
        <x:v>Domino Data Lab</x:v>
      </x:c>
      <x:c r="B300" s="28" t="str">
        <x:v>Software Engineer - New Grad, 2027</x:v>
      </x:c>
      <x:c r="C300" s="28" t="str">
        <x:v>https://www.linkedin.com/jobs/view/4464138190/</x:v>
      </x:c>
      <x:c r="D300" s="28" t="str">
        <x:v>https://boards.greenhouse.io/dominodatalab/jobs/7992556</x:v>
      </x:c>
      <x:c r="E300" s="29" t="str">
        <x:v>2026-09-09; approximately 32 minutes old when reviewed</x:v>
      </x:c>
      <x:c r="F300" s="29" t="str">
        <x:v>2026-09-09</x:v>
      </x:c>
      <x:c r="G300" s="29" t="str">
        <x:v>2026-09-09</x:v>
      </x:c>
      <x:c r="H300" s="29"/>
      <x:c r="I300" s="28" t="str">
        <x:v>Needs input</x:v>
      </x:c>
      <x:c r="J300" s="30" t="n">
        <x:v>150000</x:v>
      </x:c>
      <x:c r="K300" s="30" t="n">
        <x:v>165000</x:v>
      </x:c>
      <x:c r="L300" s="28" t="str">
        <x:v>15-1252</x:v>
      </x:c>
      <x:c r="M300" s="28" t="str">
        <x:v>Software Developers</x:v>
      </x:c>
      <x:c r="N300" s="31" t="str">
        <x:v>New York-Newark-Jersey City levels are L1 $109,845, L2 $137,717, L3 $165,589 and L4 $193,461. The entire $150,000-$165,000 range clears Levels 1 and 2; it is just below Level 3 at the maximum.</x:v>
      </x:c>
      <x:c r="O300" s="31" t="str">
        <x:v>Remote from Massachusetts</x:v>
      </x:c>
      <x:c r="P300" s="31" t="str">
        <x:v>New York, NY listing anchor; United States remote</x:v>
      </x:c>
      <x:c r="Q300" s="31" t="str">
        <x:v>Remote</x:v>
      </x:c>
      <x:c r="R300" s="31" t="str">
        <x:v>Posting explicitly says H-1B and other employment-based sponsorship may be available depending on business considerations and individual assessment, and encourages all immigration statuses to apply.</x:v>
      </x:c>
      <x:c r="S300" s="31" t="str">
        <x:v>Exceptional</x:v>
      </x:c>
      <x:c r="T300" s="31" t="str">
        <x:v>Exact 2027 new-grad timing plus Python, TypeScript, React, Docker, Postgres, cloud integrations, APIs and enterprise AI platform work closely match the resume.</x:v>
      </x:c>
      <x:c r="U300" s="31" t="str">
        <x:v>Yuxuan_Chen_Resume_Giga_Software_Engineer_AI_Agents_20260907.pdf</x:v>
      </x:c>
      <x:c r="V300" s="31" t="str">
        <x:v>A fresh Greenhouse email verification code is required; the previously entered code is invalid/expired.</x:v>
      </x:c>
      <x:c r="W300" s="31" t="str">
        <x:v>Application form remains substantially completed with contact information, Malden location, resume content, LinkedIn, authorized-to-work Yes, future sponsorship Yes, Spring 2027 graduation No, data-transfer acknowledgement, other-role consideration Yes, and voluntary demographics. Rechecked 2026-09-21: the prior 8-character Greenhouse security code is invalid and no current replacement email was found, so submission is blocked at verification only.</x:v>
      </x:c>
    </x:row>
    <x:row r="301">
      <x:c r="A301" s="28" t="str">
        <x:v>isolved</x:v>
      </x:c>
      <x:c r="B301" s="28" t="str">
        <x:v>Software Engineer I</x:v>
      </x:c>
      <x:c r="C301" s="28" t="str">
        <x:v>https://www.linkedin.com/jobs/view/4465334552/</x:v>
      </x:c>
      <x:c r="D301" s="28" t="str">
        <x:v>LinkedIn Easy Apply</x:v>
      </x:c>
      <x:c r="E301" s="29" t="str">
        <x:v>2026-09-09; approximately 32 minutes old when reviewed</x:v>
      </x:c>
      <x:c r="F301" s="29" t="str">
        <x:v>2026-09-09</x:v>
      </x:c>
      <x:c r="G301" s="29"/>
      <x:c r="H301" s="29"/>
      <x:c r="I301" s="28" t="str">
        <x:v>Halted</x:v>
      </x:c>
      <x:c r="J301" s="30"/>
      <x:c r="K301" s="30"/>
      <x:c r="L301" s="28" t="str">
        <x:v>15-1252</x:v>
      </x:c>
      <x:c r="M301" s="28" t="str">
        <x:v>Software Developers</x:v>
      </x:c>
      <x:c r="N301" s="31" t="str">
        <x:v>United States remote, but salary and employing worksite are undisclosed, so no location-specific prevailing-wage comparison is possible.</x:v>
      </x:c>
      <x:c r="O301" s="31" t="str">
        <x:v>Remote from Massachusetts</x:v>
      </x:c>
      <x:c r="P301" s="31" t="str">
        <x:v>United States remote; Charlotte, NC headquarters</x:v>
      </x:c>
      <x:c r="Q301" s="31" t="str">
        <x:v>Remote</x:v>
      </x:c>
      <x:c r="R301" s="31" t="str">
        <x:v>Not stated.</x:v>
      </x:c>
      <x:c r="S301" s="31" t="str">
        <x:v>Low-moderate</x:v>
      </x:c>
      <x:c r="T301" s="31" t="str">
        <x:v>Junior title aligns, but the role centers on PHP, LINQ, .NET, SQL Server, Knockout and Angular and asks for 1-3 years of large-enterprise web systems experience, which does not match the resume closely enough.</x:v>
      </x:c>
      <x:c r="U301" s="31" t="str">
        <x:v>Not used</x:v>
      </x:c>
      <x:c r="V301" s="31" t="str">
        <x:v>None</x:v>
      </x:c>
      <x:c r="W301" s="31" t="str">
        <x:v>Skipped after full description review because the core technology stack and enterprise-experience requirements are weak matches and salary/sponsorship are undisclosed.</x:v>
      </x:c>
    </x:row>
    <x:row r="302">
      <x:c r="A302" s="28" t="str">
        <x:v>Honeywell Aerospace</x:v>
      </x:c>
      <x:c r="B302" s="28" t="str">
        <x:v>Software Engineering Full Time Employee - Recent Grad 2027</x:v>
      </x:c>
      <x:c r="C302" s="28" t="str">
        <x:v>https://www.linkedin.com/jobs/view/4461512347/</x:v>
      </x:c>
      <x:c r="D302" s="28" t="str">
        <x:v>https://icfcjb.fa.ocs.oraclecloud.com/hcmUI/CandidateExperience/en/job/120524/</x:v>
      </x:c>
      <x:c r="E302" s="29" t="str">
        <x:v>LinkedIn reposted 2026-09-09; listing states 1 week old</x:v>
      </x:c>
      <x:c r="F302" s="29" t="str">
        <x:v>2026-09-09</x:v>
      </x:c>
      <x:c r="G302" s="29"/>
      <x:c r="H302" s="29"/>
      <x:c r="I302" s="28" t="str">
        <x:v>Halted</x:v>
      </x:c>
      <x:c r="J302" s="30" t="n">
        <x:v>95100</x:v>
      </x:c>
      <x:c r="K302" s="30" t="n">
        <x:v>123200</x:v>
      </x:c>
      <x:c r="L302" s="28" t="str">
        <x:v>15-1252</x:v>
      </x:c>
      <x:c r="M302" s="28" t="str">
        <x:v>Software Developers</x:v>
      </x:c>
      <x:c r="N302" s="31" t="str">
        <x:v>Multiple U.S. worksites are possible and the exact worksite is selected later. The range may clear Level 1 in lower-cost areas, but sponsorship incompatibility controls the decision.</x:v>
      </x:c>
      <x:c r="O302" s="31" t="str">
        <x:v>United States remote / worksite pending</x:v>
      </x:c>
      <x:c r="P302" s="31" t="str">
        <x:v>Multiple locations across the United States</x:v>
      </x:c>
      <x:c r="Q302" s="31" t="str">
        <x:v>LinkedIn lists remote; exact worksite selected by Honeywell</x:v>
      </x:c>
      <x:c r="R302" s="31" t="str">
        <x:v>Posting explicitly states Honeywell cannot consider applicants requiring current or future sponsorship for this position.</x:v>
      </x:c>
      <x:c r="S302" s="31" t="str">
        <x:v>Strong technical and graduation fit; sponsorship incompatible</x:v>
      </x:c>
      <x:c r="T302" s="31" t="str">
        <x:v>December 2026 graduation and February 2027 availability fit the stated ranges, and the general software-engineering requirements align, but the explicit no-future-sponsorship rule is disqualifying.</x:v>
      </x:c>
      <x:c r="U302" s="31" t="str">
        <x:v>Not used</x:v>
      </x:c>
      <x:c r="V302" s="31" t="str">
        <x:v>None</x:v>
      </x:c>
      <x:c r="W302" s="31" t="str">
        <x:v>Skipped immediately after full description review because future H-1B sponsorship is explicitly unavailable.</x:v>
      </x:c>
    </x:row>
    <x:row r="303">
      <x:c r="A303" s="28" t="str">
        <x:v>Domino Data Lab</x:v>
      </x:c>
      <x:c r="B303" s="28" t="str">
        <x:v>Forward Deployed Engineer - New Grad, 2027</x:v>
      </x:c>
      <x:c r="C303" s="28" t="str">
        <x:v>https://www.linkedin.com/jobs/view/4464134227/</x:v>
      </x:c>
      <x:c r="D303" s="28" t="str">
        <x:v>https://boards.greenhouse.io/dominodatalab/jobs/7992530</x:v>
      </x:c>
      <x:c r="E303" s="29" t="str">
        <x:v>2026-09-09; approximately 39 minutes old when reviewed</x:v>
      </x:c>
      <x:c r="F303" s="29" t="str">
        <x:v>2026-09-09</x:v>
      </x:c>
      <x:c r="G303" s="29" t="str">
        <x:v>2026-09-09</x:v>
      </x:c>
      <x:c r="H303" s="29"/>
      <x:c r="I303" s="28" t="str">
        <x:v>Needs input</x:v>
      </x:c>
      <x:c r="J303" s="30" t="n">
        <x:v>150000</x:v>
      </x:c>
      <x:c r="K303" s="30" t="n">
        <x:v>165000</x:v>
      </x:c>
      <x:c r="L303" s="28" t="str">
        <x:v>15-1252</x:v>
      </x:c>
      <x:c r="M303" s="28" t="str">
        <x:v>Software Developers</x:v>
      </x:c>
      <x:c r="N303" s="31" t="str">
        <x:v>New York-Newark-Jersey City levels are L1 $109,845, L2 $137,717, L3 $165,589 and L4 $193,461. The entire $150,000-$165,000 range clears Levels 1 and 2 and is just below Level 3 at the maximum.</x:v>
      </x:c>
      <x:c r="O303" s="31" t="str">
        <x:v>Remote from Massachusetts</x:v>
      </x:c>
      <x:c r="P303" s="31" t="str">
        <x:v>New York, NY listing anchor; United States remote</x:v>
      </x:c>
      <x:c r="Q303" s="31" t="str">
        <x:v>Remote</x:v>
      </x:c>
      <x:c r="R303" s="31" t="str">
        <x:v>Posting explicitly says H-1B and other employment-based sponsorship may be available depending on business considerations and individual assessment, and encourages all immigration statuses to apply.</x:v>
      </x:c>
      <x:c r="S303" s="31" t="str">
        <x:v>Exceptional</x:v>
      </x:c>
      <x:c r="T303" s="31" t="str">
        <x:v>Python, AI/ML experimentation, DevOps, customer-facing problem solving, full-stack delivery and high-stakes workflow integration closely match the resume and research-assistant work.</x:v>
      </x:c>
      <x:c r="U303" s="31" t="str">
        <x:v>Yuxuan_Chen_Resume_Giga_Software_Engineer_AI_Agents_20260907.pdf</x:v>
      </x:c>
      <x:c r="V303" s="31" t="str">
        <x:v>None from candidate. Retry is blocked by the official Greenhouse location widget: it clears Malden and remains invalid without returning any selectable city suggestions.</x:v>
      </x:c>
      <x:c r="W303" s="31" t="str">
        <x:v>Full LinkedIn description reviewed. This is a distinct Domino team/requisition and should be submitted in addition to the Software Engineer role. On 2026-09-13 the full form was completed with truthful answers: December 2026 graduation means No to Spring 2027, authorized to work Yes, future sponsorship Yes, privacy acknowledged, other-role consideration Yes, and voluntary demographics completed. The resume upload control also failed to open, so the same tailored resume was entered manually. Submission is technically blocked only by the malfunctioning required city selector; no candidate decision is outstanding.</x:v>
      </x:c>
    </x:row>
    <x:row r="304">
      <x:c r="A304" s="28" t="str">
        <x:v>Expedia Group</x:v>
      </x:c>
      <x:c r="B304" s="28" t="str">
        <x:v>Machine Learning Scientist II - Agentic Experiences</x:v>
      </x:c>
      <x:c r="C304" s="28" t="str">
        <x:v>https://www.linkedin.com/jobs/view/4464520438/</x:v>
      </x:c>
      <x:c r="D304" s="28" t="str">
        <x:v>https://expedia.wd108.myworkdayjobs.com/search/job/Washington---Seattle-Campus/Machine-Learning-Scientist-II---Agentic-Experiences_R-109446/apply?source=LinkedIn</x:v>
      </x:c>
      <x:c r="E304" s="29" t="str">
        <x:v>2026-09-09</x:v>
      </x:c>
      <x:c r="F304" s="29" t="str">
        <x:v>2026-09-10</x:v>
      </x:c>
      <x:c r="G304" s="29" t="str">
        <x:v>2026-09-10</x:v>
      </x:c>
      <x:c r="H304" s="29"/>
      <x:c r="I304" s="28" t="str">
        <x:v>Needs input</x:v>
      </x:c>
      <x:c r="J304" s="30" t="n">
        <x:v>112000</x:v>
      </x:c>
      <x:c r="K304" s="30" t="n">
        <x:v>171500</x:v>
      </x:c>
      <x:c r="L304" s="28" t="str">
        <x:v>15-2051</x:v>
      </x:c>
      <x:c r="M304" s="28" t="str">
        <x:v>Data Scientists</x:v>
      </x:c>
      <x:c r="N304" s="31" t="str">
        <x:v>The posting lists $112,000-$156,500 for Seattle/Austin and $122,500-$171,500 for San Jose. San Jose 15-2051/related AI wage compatibility is strongest in the upper range; the exact offer and worksite must clear the applicable Level 1 wage. Austin is likely the safest wage-to-range location if offered, followed by Seattle; San Jose should target at least the applicable Level 1 threshold.</x:v>
      </x:c>
      <x:c r="O304" s="31" t="str">
        <x:v>Austin, TX if available; otherwise Seattle, WA or San Jose, CA</x:v>
      </x:c>
      <x:c r="P304" s="31" t="str">
        <x:v>Seattle, WA; San Jose, CA; Austin, TX</x:v>
      </x:c>
      <x:c r="Q304" s="31" t="str">
        <x:v>On-site</x:v>
      </x:c>
      <x:c r="R304" s="31" t="str">
        <x:v>No exclusion stated in the full posting; Expedia is a large employer with historical employment-based sponsorship activity, but role-level sponsorship is not guaranteed.</x:v>
      </x:c>
      <x:c r="S304" s="31" t="str">
        <x:v>Strong stretch</x:v>
      </x:c>
      <x:c r="T304" s="31" t="str">
        <x:v>Direct match to Python, agentic and multi-step AI systems, tool use, APIs, evaluation frameworks, latency/cost/reliability analysis and production/research experience. The main gaps are the stated 2+ years of industry experience and explicit PyTorch/TensorFlow/JAX depth.</x:v>
      </x:c>
      <x:c r="U304" s="31" t="str">
        <x:v>Yuxuan_Chen_Resume_Giga_Software_Engineer_AI_Agents_20260907.pdf</x:v>
      </x:c>
      <x:c r="V304" s="31" t="str">
        <x:v>Expedia Workday requires signing in to an existing Candidate Home account or creating one with a password. Password entry/account creation must be completed by the candidate; do not request or store the password.</x:v>
      </x:c>
      <x:c r="W304" s="31" t="str">
        <x:v>Official posting and full description reviewed. Application opened and reached Expedia Workday sign-in on 2026-09-10. Continue immediately after the candidate signs in.</x:v>
      </x:c>
    </x:row>
    <x:row r="305">
      <x:c r="A305" s="28" t="str">
        <x:v>Amazon</x:v>
      </x:c>
      <x:c r="B305" s="28" t="str">
        <x:v>System Development Engineer I, REALM</x:v>
      </x:c>
      <x:c r="C305" s="28" t="str">
        <x:v>https://www.linkedin.com/jobs/view/4465667215/</x:v>
      </x:c>
      <x:c r="D305" s="28" t="str">
        <x:v>https://www.amazon.jobs/jobs/10535483/system-development-engineer-i-realm</x:v>
      </x:c>
      <x:c r="E305" s="29" t="str">
        <x:v>2026-09-10; approximately 2 hours old when reviewed</x:v>
      </x:c>
      <x:c r="F305" s="29" t="str">
        <x:v>2026-09-10</x:v>
      </x:c>
      <x:c r="G305" s="29" t="str">
        <x:v>2026-09-10</x:v>
      </x:c>
      <x:c r="H305" s="29" t="str">
        <x:v>2026-09-10</x:v>
      </x:c>
      <x:c r="I305" s="28" t="str">
        <x:v>Submitted</x:v>
      </x:c>
      <x:c r="J305" s="30" t="n">
        <x:v>99100</x:v>
      </x:c>
      <x:c r="K305" s="30" t="n">
        <x:v>160000</x:v>
      </x:c>
      <x:c r="L305" s="28" t="str">
        <x:v>15-1252</x:v>
      </x:c>
      <x:c r="M305" s="28" t="str">
        <x:v>Software Developers</x:v>
      </x:c>
      <x:c r="N305" s="31" t="str">
        <x:v>Bellevue, WA salary range is $99,100-$160,000. The range is compatible with entry-level software-development prevailing-wage screening at its upper portion; final offer must meet the applicable worksite-specific Level 1 wage. Amazon explicitly states immigration support and sponsorship may be provided where the candidate and role are eligible.</x:v>
      </x:c>
      <x:c r="O305" s="31" t="str">
        <x:v>Bellevue, WA</x:v>
      </x:c>
      <x:c r="P305" s="31" t="str">
        <x:v>None listed</x:v>
      </x:c>
      <x:c r="Q305" s="31" t="str">
        <x:v>On-site</x:v>
      </x:c>
      <x:c r="R305" s="31" t="str">
        <x:v>Application states Amazon provides immigration support and sponsorship where the candidate and role are eligible. Future immigration support/sponsorship was answered Yes; current status F-1, STEM degree Yes, prior H-1B No.</x:v>
      </x:c>
      <x:c r="S305" s="31" t="str">
        <x:v>Strong</x:v>
      </x:c>
      <x:c r="T305" s="31" t="str">
        <x:v>Direct match to Python/Java, Linux, infrastructure automation, SQL, CI/CD, cloud deployment, monitoring, distributed systems and generative-AI workflow experience. The SDE I level is realistic.</x:v>
      </x:c>
      <x:c r="U305" s="31" t="str">
        <x:v>Yuxuan_Chen_Resume_Salesforce_Software_Engineering_AMTS_20260907.pdf</x:v>
      </x:c>
      <x:c r="V305" s="31" t="str">
        <x:v>None</x:v>
      </x:c>
      <x:c r="W305" s="31" t="str">
        <x:v>Submitted successfully through Amazon Jobs on 2026-09-10; confirmation page showed Thank you for your application. Optional SMS verification was skipped. Job ID 10535483.</x:v>
      </x:c>
    </x:row>
    <x:row r="306">
      <x:c r="A306" s="28" t="str">
        <x:v>Nodal Exchange</x:v>
      </x:c>
      <x:c r="B306" s="28" t="str">
        <x:v>Software Engineer</x:v>
      </x:c>
      <x:c r="C306" s="28" t="str">
        <x:v>https://www.linkedin.com/jobs/view/4465810126/</x:v>
      </x:c>
      <x:c r="D306" s="28" t="str">
        <x:v>https://nodalexchange.pinpointhq.com/postings/8be4bd8c-4153-4e59-b886-8495d2240f2e/applications/new</x:v>
      </x:c>
      <x:c r="E306" s="29" t="str">
        <x:v>2026-09-10; approximately 3 minutes old when discovered</x:v>
      </x:c>
      <x:c r="F306" s="29" t="str">
        <x:v>2026-09-10</x:v>
      </x:c>
      <x:c r="G306" s="29" t="str">
        <x:v>2026-09-10</x:v>
      </x:c>
      <x:c r="H306" s="29"/>
      <x:c r="I306" s="28" t="str">
        <x:v>Needs input</x:v>
      </x:c>
      <x:c r="J306" s="30" t="n">
        <x:v>90000</x:v>
      </x:c>
      <x:c r="K306" s="30" t="n">
        <x:v>130000</x:v>
      </x:c>
      <x:c r="L306" s="28" t="str">
        <x:v>15-1252</x:v>
      </x:c>
      <x:c r="M306" s="28" t="str">
        <x:v>Software Developers</x:v>
      </x:c>
      <x:c r="N306" s="31" t="str">
        <x:v>Tysons Corner is in the Washington-Arlington-Alexandria wage area. The posted $90,000-$130,000 range overlaps plausible Level 1 software-developer wages; an offer should be targeted at approximately $120,000 or higher and must clear the final worksite-specific prevailing wage.</x:v>
      </x:c>
      <x:c r="O306" s="31" t="str">
        <x:v>Tysons Corner, VA</x:v>
      </x:c>
      <x:c r="P306" s="31" t="str">
        <x:v>None listed</x:v>
      </x:c>
      <x:c r="Q306" s="31" t="str">
        <x:v>Hybrid</x:v>
      </x:c>
      <x:c r="R306" s="31" t="str">
        <x:v>Posting does not state a restriction. The application was answered truthfully: F-1, post-completion OPT expected from 2027-02-18, and future employment-based sponsorship required.</x:v>
      </x:c>
      <x:c r="S306" s="31" t="str">
        <x:v>Strong</x:v>
      </x:c>
      <x:c r="T306" s="31" t="str">
        <x:v>Java, JavaScript, React, Docker, relational databases, distributed systems, quantitative background, automation and testing closely match the resume. No seniority minimum is stated.</x:v>
      </x:c>
      <x:c r="U306" s="31" t="str">
        <x:v>Yuxuan_Chen_Resume_Giga_Software_Engineer_AI_Agents_20260907.pdf</x:v>
      </x:c>
      <x:c r="V306" s="31" t="str">
        <x:v>The entire application is complete. The final submit action is blocked only by the visible Google reCAPTCHA checkbox, which must be completed manually.</x:v>
      </x:c>
      <x:c r="W306" s="31" t="str">
        <x:v>Form completed with contact/address, resume, master's education, sponsorship details, $120,000 desired salary, relocation willingness, work authorization, privacy consent and voluntary demographics (female, Asian, no disability, not a veteran, she/her). Submit was attempted on 2026-09-10; all data remains on the open page awaiting CAPTCHA.</x:v>
      </x:c>
    </x:row>
    <x:row r="307">
      <x:c r="A307" s="28" t="str">
        <x:v>Microsoft</x:v>
      </x:c>
      <x:c r="B307" s="28" t="str">
        <x:v>Software Engineer II - AI Infrastructure</x:v>
      </x:c>
      <x:c r="C307" s="28" t="str">
        <x:v>https://www.linkedin.com/jobs/view/4456732235/</x:v>
      </x:c>
      <x:c r="D307" s="28" t="str">
        <x:v>https://apply.careers.microsoft.com/careers/job/1970393556971419</x:v>
      </x:c>
      <x:c r="E307" s="29" t="str">
        <x:v>2026-08-31</x:v>
      </x:c>
      <x:c r="F307" s="29" t="str">
        <x:v>2026-09-10</x:v>
      </x:c>
      <x:c r="G307" s="29" t="str">
        <x:v>2026-09-10</x:v>
      </x:c>
      <x:c r="H307" s="29"/>
      <x:c r="I307" s="28" t="str">
        <x:v>Needs input</x:v>
      </x:c>
      <x:c r="J307" s="30" t="n">
        <x:v>102100</x:v>
      </x:c>
      <x:c r="K307" s="30" t="n">
        <x:v>202200</x:v>
      </x:c>
      <x:c r="L307" s="28" t="str">
        <x:v>15-1252</x:v>
      </x:c>
      <x:c r="M307" s="28" t="str">
        <x:v>Software Developers</x:v>
      </x:c>
      <x:c r="N307" s="31" t="str">
        <x:v>Redmond, WA national-range pay is $102,100-$202,200. The range clears common entry-level prevailing-wage screening in its upper portion; the final Redmond offer must meet the applicable Level 1 wage. Microsoft is a large historical sponsor and the posting does not exclude immigration support.</x:v>
      </x:c>
      <x:c r="O307" s="31" t="str">
        <x:v>Redmond, WA</x:v>
      </x:c>
      <x:c r="P307" s="31" t="str">
        <x:v>None listed</x:v>
      </x:c>
      <x:c r="Q307" s="31" t="str">
        <x:v>Hybrid; 3 days per week in office</x:v>
      </x:c>
      <x:c r="R307" s="31" t="str">
        <x:v>No sponsorship exclusion stated; Microsoft has substantial historical sponsorship activity, but requisition-level support is not guaranteed.</x:v>
      </x:c>
      <x:c r="S307" s="31" t="str">
        <x:v>Strong stretch</x:v>
      </x:c>
      <x:c r="T307" s="31" t="str">
        <x:v>Python, AI infrastructure, GPU workloads, distributed systems, Docker, Kubernetes, CI/CD, cloud deployment, telemetry and LLM evaluation closely match. The main stretch is the stated 2+ years of technical engineering experience, which may be partially supported by research and internships.</x:v>
      </x:c>
      <x:c r="U307" s="31" t="str">
        <x:v>Yuxuan_Chen_Resume_Giga_Software_Engineer_AI_Agents_20260907.pdf</x:v>
      </x:c>
      <x:c r="V307" s="31" t="str">
        <x:v>Microsoft Careers requires candidate authentication. Google and LinkedIn sign-in buttons were attempted but the external authentication window did not open in the controlled browser; manual sign-in is required before the form can be completed.</x:v>
      </x:c>
      <x:c r="W307" s="31" t="str">
        <x:v>Full official description reviewed on 2026-09-10. Job number 200049224; Microsoft application PID 1970393556971419. Keep as a high-priority large-company application.</x:v>
      </x:c>
    </x:row>
    <x:row r="308">
      <x:c r="A308" s="28" t="str">
        <x:v>BNSF Railway</x:v>
      </x:c>
      <x:c r="B308" s="28" t="str">
        <x:v>Product, Platform &amp; Enterprise Full Stack Software Engineer I/II (Remote - US)</x:v>
      </x:c>
      <x:c r="C308" s="28" t="str">
        <x:v>https://www.linkedin.com/jobs/view/4445772682/</x:v>
      </x:c>
      <x:c r="D308" s="28" t="str">
        <x:v>https://jobs.bnsf.com/us/en/job/BRSBRWUS95574EXTERNALENUS/Product-Platform-Enterprise-Full-Stack-Software-Engineer-I-II-Remote-US</x:v>
      </x:c>
      <x:c r="E308" s="29" t="str">
        <x:v>Within 7 days as of 2026-09-10</x:v>
      </x:c>
      <x:c r="F308" s="29" t="str">
        <x:v>2026-09-10</x:v>
      </x:c>
      <x:c r="G308" s="29" t="str">
        <x:v>2026-09-10</x:v>
      </x:c>
      <x:c r="H308" s="29"/>
      <x:c r="I308" s="28" t="str">
        <x:v>Needs input</x:v>
      </x:c>
      <x:c r="J308" s="30" t="n">
        <x:v>93750</x:v>
      </x:c>
      <x:c r="K308" s="30" t="n">
        <x:v>175000</x:v>
      </x:c>
      <x:c r="L308" s="28" t="str">
        <x:v>15-1252</x:v>
      </x:c>
      <x:c r="M308" s="28" t="str">
        <x:v>Software Developers</x:v>
      </x:c>
      <x:c r="N308" s="31" t="str">
        <x:v>Remote across the contiguous 48 states, so the prevailing wage depends on the employing worksite. The $93,750-$175,000 range can clear Level 1 in many locations; prioritize Massachusetts or another worksite whose Level 1 is at or below the final offer. The target answer remains $120,000 or higher.</x:v>
      </x:c>
      <x:c r="O308" s="31" t="str">
        <x:v>Remote from Massachusetts</x:v>
      </x:c>
      <x:c r="P308" s="31" t="str">
        <x:v>Any of the contiguous 48 U.S. states; occasional travel to Fort Worth, TX</x:v>
      </x:c>
      <x:c r="Q308" s="31" t="str">
        <x:v>Remote; up to 20% travel</x:v>
      </x:c>
      <x:c r="R308" s="31" t="str">
        <x:v>Highly compatible. The posting explicitly accepts STEM OPT candidates with at least two years of remaining eligibility and also mentions H-1B transfers and TN support. The candidate's post-completion OPT begins 2027-02-18 and STEM extension eligibility provides more than two years of potential remaining work authorization at start.</x:v>
      </x:c>
      <x:c r="S308" s="31" t="str">
        <x:v>Exceptional</x:v>
      </x:c>
      <x:c r="T308" s="31" t="str">
        <x:v>Junior/full-stack level with direct overlap in TypeScript/Java, React, APIs, Docker, cloud, distributed systems, automated testing, OpenTelemetry, monitoring and AI/ML. The remote arrangement and explicit STEM OPT language are especially favorable.</x:v>
      </x:c>
      <x:c r="U308" s="31" t="str">
        <x:v>Yuxuan_Chen_Resume_Giga_Software_Engineer_AI_Agents_20260907.pdf</x:v>
      </x:c>
      <x:c r="V308" s="31" t="str">
        <x:v>None from the candidate. The BNSF/SuccessFactors application page repeatedly timed out during document upload and form-state inspection; retry from the saved application URL when the site responds normally.</x:v>
      </x:c>
      <x:c r="W308" s="31" t="str">
        <x:v>Official full description reviewed and application opened on 2026-09-10. Job ID 95574. Personal-information fields and resume upload were initiated, but the browser control session timed out twice on the SuccessFactors form before completion could be verified. Keep at the top of the retry queue.</x:v>
      </x:c>
    </x:row>
    <x:row r="309">
      <x:c r="A309" s="28" t="str">
        <x:v>Nscale</x:v>
      </x:c>
      <x:c r="B309" s="28" t="str">
        <x:v>Systems Engineer - Early Career</x:v>
      </x:c>
      <x:c r="C309" s="28" t="str">
        <x:v>https://www.linkedin.com/jobs/view/4437856254/</x:v>
      </x:c>
      <x:c r="D309" s="28" t="str">
        <x:v>https://job-boards.eu.greenhouse.io/nscaleoperationsukltd/jobs/4921849101</x:v>
      </x:c>
      <x:c r="E309" s="29" t="str">
        <x:v>Within 30 days as of 2026-09-10</x:v>
      </x:c>
      <x:c r="F309" s="29" t="str">
        <x:v>2026-09-10</x:v>
      </x:c>
      <x:c r="G309" s="29" t="str">
        <x:v>2026-09-10</x:v>
      </x:c>
      <x:c r="H309" s="29" t="str">
        <x:v>2026-09-10</x:v>
      </x:c>
      <x:c r="I309" s="28" t="str">
        <x:v>Submitted</x:v>
      </x:c>
      <x:c r="J309" s="30" t="n">
        <x:v>80000</x:v>
      </x:c>
      <x:c r="K309" s="30" t="n">
        <x:v>130000</x:v>
      </x:c>
      <x:c r="L309" s="28" t="str">
        <x:v>15-1252</x:v>
      </x:c>
      <x:c r="M309" s="28" t="str">
        <x:v>Software Developers</x:v>
      </x:c>
      <x:c r="N309" s="31" t="str">
        <x:v>Seattle salary range is $80,000-$130,000. The lower range may not clear the applicable Level 1 software-developer prevailing wage, so an offer should be negotiated near the top of the range and must meet the final Seattle worksite threshold.</x:v>
      </x:c>
      <x:c r="O309" s="31" t="str">
        <x:v>Seattle, WA</x:v>
      </x:c>
      <x:c r="P309" s="31" t="str">
        <x:v>None listed</x:v>
      </x:c>
      <x:c r="Q309" s="31" t="str">
        <x:v>Hybrid</x:v>
      </x:c>
      <x:c r="R309" s="31" t="str">
        <x:v>The full posting does not state a sponsorship exclusion. Current work authorization was answered Yes and future Nscale immigration sponsorship/support was answered Yes.</x:v>
      </x:c>
      <x:c r="S309" s="31" t="str">
        <x:v>Exceptional</x:v>
      </x:c>
      <x:c r="T309" s="31" t="str">
        <x:v>The role targets recent graduates with 0-2 years and directly matches Python, Linux, REST APIs, PostgreSQL, cloud platforms, Docker, monitoring, observability, telemetry, infrastructure automation, distributed systems and AI/HPC interests.</x:v>
      </x:c>
      <x:c r="U309" s="31" t="str">
        <x:v>Yuxuan_Chen_Resume_Giga_Software_Engineer_AI_Agents_20260907.pdf</x:v>
      </x:c>
      <x:c r="V309" s="31" t="str">
        <x:v>None</x:v>
      </x:c>
      <x:c r="W309" s="31" t="str">
        <x:v>Submitted successfully through Nscale Greenhouse on 2026-09-10. Confirmation page displayed 'Thank you for applying' and 'Your application has been received.' Contact details, Malden location, resume, LinkedIn, GitHub, current employer, preferred name, work authorization Yes and future sponsorship Yes were submitted; optional education fields were left blank because the resume contains the complete education history.</x:v>
      </x:c>
    </x:row>
    <x:row r="310">
      <x:c r="A310" s="28" t="str">
        <x:v>IBM</x:v>
      </x:c>
      <x:c r="B310" s="28" t="str">
        <x:v>Associate Software Engineer</x:v>
      </x:c>
      <x:c r="C310" s="28" t="str">
        <x:v>https://www.linkedin.com/jobs/view/4463430704/</x:v>
      </x:c>
      <x:c r="D310" s="28" t="str">
        <x:v>https://careers.ibm.com/en_US/careers/JobDetail?jobId=132165</x:v>
      </x:c>
      <x:c r="E310" s="29" t="str">
        <x:v>Within 7 days as of 2026-09-10</x:v>
      </x:c>
      <x:c r="F310" s="29" t="str">
        <x:v>2026-09-10</x:v>
      </x:c>
      <x:c r="G310" s="29" t="str">
        <x:v>2026-09-10</x:v>
      </x:c>
      <x:c r="H310" s="29"/>
      <x:c r="I310" s="28" t="str">
        <x:v>Halted</x:v>
      </x:c>
      <x:c r="J310" s="30" t="n">
        <x:v>71000</x:v>
      </x:c>
      <x:c r="K310" s="30" t="n">
        <x:v>123000</x:v>
      </x:c>
      <x:c r="L310" s="28" t="str">
        <x:v>15-1252</x:v>
      </x:c>
      <x:c r="M310" s="28" t="str">
        <x:v>Software Developers</x:v>
      </x:c>
      <x:c r="N310" s="31" t="str">
        <x:v>Lowell, MA is in the Boston-Cambridge-Newton wage area. The posted $71,000-$123,000 range includes compensation below the supplied Software Developers Level 1 threshold of $114,275; only the narrow upper portion clears Level 1.</x:v>
      </x:c>
      <x:c r="O310" s="31" t="str">
        <x:v>Lowell, MA</x:v>
      </x:c>
      <x:c r="P310" s="31" t="str">
        <x:v>None listed</x:v>
      </x:c>
      <x:c r="Q310" s="31" t="str">
        <x:v>On-site</x:v>
      </x:c>
      <x:c r="R310" s="31" t="str">
        <x:v>Official posting explicitly states IBM will not provide visa sponsorship now or in the future and requires permanent work authorization without current or future sponsorship.</x:v>
      </x:c>
      <x:c r="S310" s="31" t="str">
        <x:v>Ineligible</x:v>
      </x:c>
      <x:c r="T310" s="31" t="str">
        <x:v>Technical match is strong and the role is entry level, but the explicit no-current-or-future-sponsorship rule conflicts with the candidate's required future H-1B sponsorship.</x:v>
      </x:c>
      <x:c r="U310" s="31" t="str">
        <x:v>Yuxuan_Chen_Resume_Giga_Software_Engineer_AI_Agents_20260907.pdf</x:v>
      </x:c>
      <x:c r="V310" s="31" t="str">
        <x:v>None</x:v>
      </x:c>
      <x:c r="W310" s="31" t="str">
        <x:v>Halted after rechecking the full official IBM description on 2026-09-13. Job ID 132165, posted 2026-09-09. The posting explicitly excludes all current and future visa sponsorship, so account/MFA setup is unnecessary.</x:v>
      </x:c>
    </x:row>
    <x:row r="311">
      <x:c r="A311" s="28" t="str">
        <x:v>Red Hat</x:v>
      </x:c>
      <x:c r="B311" s="28" t="str">
        <x:v>Associate Software Engineer</x:v>
      </x:c>
      <x:c r="C311" s="28" t="str">
        <x:v>https://www.linkedin.com/jobs/view/4464111798/</x:v>
      </x:c>
      <x:c r="D311" s="28" t="str">
        <x:v>https://www.linkedin.com/jobs/view/4464111798/</x:v>
      </x:c>
      <x:c r="E311" s="29" t="str">
        <x:v>Within 7 days as of 2026-09-10</x:v>
      </x:c>
      <x:c r="F311" s="29" t="str">
        <x:v>2026-09-10</x:v>
      </x:c>
      <x:c r="G311" s="29"/>
      <x:c r="H311" s="29"/>
      <x:c r="I311" s="28" t="str">
        <x:v>Halted</x:v>
      </x:c>
      <x:c r="J311" s="30" t="n">
        <x:v>76830</x:v>
      </x:c>
      <x:c r="K311" s="30" t="n">
        <x:v>122890</x:v>
      </x:c>
      <x:c r="L311" s="28" t="str">
        <x:v>15-1252</x:v>
      </x:c>
      <x:c r="M311" s="28" t="str">
        <x:v>Software Developers</x:v>
      </x:c>
      <x:c r="N311" s="31" t="str">
        <x:v>Lowell, MA range tops at $122,890 and overlaps the Boston-area Level 1 threshold, but the explicit no-sponsorship rule is independently disqualifying.</x:v>
      </x:c>
      <x:c r="O311" s="31" t="str">
        <x:v>Lowell, MA</x:v>
      </x:c>
      <x:c r="P311" s="31" t="str">
        <x:v>None listed</x:v>
      </x:c>
      <x:c r="Q311" s="31" t="str">
        <x:v>Hybrid</x:v>
      </x:c>
      <x:c r="R311" s="31" t="str">
        <x:v>Incompatible: the posting explicitly states Red Hat will not provide visa sponsorship and applicants must not need current or future sponsorship.</x:v>
      </x:c>
      <x:c r="S311" s="31" t="str">
        <x:v>Exceptional technical fit; sponsorship incompatible</x:v>
      </x:c>
      <x:c r="T311" s="31" t="str">
        <x:v>Python, Linux, Git, Docker/Kubernetes, cloud, CI/CD and test automation align directly, but future H-1B sponsorship is required.</x:v>
      </x:c>
      <x:c r="U311" s="31" t="str">
        <x:v>Not used</x:v>
      </x:c>
      <x:c r="V311" s="31" t="str">
        <x:v>None</x:v>
      </x:c>
      <x:c r="W311" s="31" t="str">
        <x:v>Skipped immediately after full description review because future visa sponsorship is explicitly unavailable.</x:v>
      </x:c>
    </x:row>
    <x:row r="312">
      <x:c r="A312" s="28" t="str">
        <x:v>Applied Systems</x:v>
      </x:c>
      <x:c r="B312" s="28" t="str">
        <x:v>Associate Software Engineer / Software Engineer</x:v>
      </x:c>
      <x:c r="C312" s="28" t="str">
        <x:v>https://www.linkedin.com/jobs/view/4436258780/</x:v>
      </x:c>
      <x:c r="D312" s="28" t="str">
        <x:v>https://careers-appliedsystems.icims.com/jobs/7318/associate-software-engineer---software-engineer/job</x:v>
      </x:c>
      <x:c r="E312" s="29" t="str">
        <x:v>Within 7 days as of 2026-09-10</x:v>
      </x:c>
      <x:c r="F312" s="29" t="str">
        <x:v>2026-09-10</x:v>
      </x:c>
      <x:c r="G312" s="29" t="str">
        <x:v>2026-09-10</x:v>
      </x:c>
      <x:c r="H312" s="29"/>
      <x:c r="I312" s="28" t="str">
        <x:v>Needs input</x:v>
      </x:c>
      <x:c r="J312" s="30" t="n">
        <x:v>60000</x:v>
      </x:c>
      <x:c r="K312" s="30" t="n">
        <x:v>125000</x:v>
      </x:c>
      <x:c r="L312" s="28" t="str">
        <x:v>15-1252</x:v>
      </x:c>
      <x:c r="M312" s="28" t="str">
        <x:v>Software Developers</x:v>
      </x:c>
      <x:c r="N312" s="31" t="str">
        <x:v>For Dallas, the upper portion of the $60,000-$125,000 range may clear Level 1; target at least $120,000 and verify the final worksite-specific wage. Chicago is less favorable at the lower end.</x:v>
      </x:c>
      <x:c r="O312" s="31" t="str">
        <x:v>Dallas, TX</x:v>
      </x:c>
      <x:c r="P312" s="31" t="str">
        <x:v>Chicago, IL; Toronto, ON</x:v>
      </x:c>
      <x:c r="Q312" s="31" t="str">
        <x:v>Hybrid or remote depending on team</x:v>
      </x:c>
      <x:c r="R312" s="31" t="str">
        <x:v>No sponsorship exclusion is stated in the posting; role-level support remains unconfirmed.</x:v>
      </x:c>
      <x:c r="S312" s="31" t="str">
        <x:v>Strong</x:v>
      </x:c>
      <x:c r="T312" s="31" t="str">
        <x:v>Foundational software role with Go, React, Python, SQL, REST, GCP, Kubernetes, CI/CD, testing and debugging exposure closely matching the resume.</x:v>
      </x:c>
      <x:c r="U312" s="31" t="str">
        <x:v>Yuxuan_Chen_Resume_Giga_Software_Engineer_AI_Agents_20260907.pdf</x:v>
      </x:c>
      <x:c r="V312" s="31" t="str">
        <x:v>The iCIMS candidate profile requires creation of a login and password before the three-step application can continue. Password creation must be completed manually.</x:v>
      </x:c>
      <x:c r="W312" s="31" t="str">
        <x:v>Official iCIMS application opened and email entered on 2026-09-10. Application cannot proceed without creating the candidate-account password.</x:v>
      </x:c>
    </x:row>
    <x:row r="313">
      <x:c r="A313" s="28" t="str">
        <x:v>AbbVie</x:v>
      </x:c>
      <x:c r="B313" s="28" t="str">
        <x:v>Associate Data Engineer II</x:v>
      </x:c>
      <x:c r="C313" s="28" t="str">
        <x:v>https://www.linkedin.com/jobs/view/4464119995/</x:v>
      </x:c>
      <x:c r="D313" s="28" t="str">
        <x:v>https://jobs.smartrecruiters.com/oneclick-ui/company/AbbVie/publication/d31a6399-4d4b-4fd8-90da-2952f0e0ed21/screening?dcr_ci=AbbVie&amp;sid=2d92f286-613b-4daf-9dfa-6340ffbecf73</x:v>
      </x:c>
      <x:c r="E313" s="29" t="str">
        <x:v>Within 7 days as of 2026-09-10</x:v>
      </x:c>
      <x:c r="F313" s="29" t="str">
        <x:v>2026-09-10</x:v>
      </x:c>
      <x:c r="G313" s="29" t="str">
        <x:v>2026-09-10</x:v>
      </x:c>
      <x:c r="H313" s="29"/>
      <x:c r="I313" s="28" t="str">
        <x:v>Needs input</x:v>
      </x:c>
      <x:c r="J313" s="30" t="n">
        <x:v>65500</x:v>
      </x:c>
      <x:c r="K313" s="30" t="n">
        <x:v>125500</x:v>
      </x:c>
      <x:c r="L313" s="28" t="str">
        <x:v>15-2051</x:v>
      </x:c>
      <x:c r="M313" s="28" t="str">
        <x:v>Data Scientists</x:v>
      </x:c>
      <x:c r="N313" s="31" t="str">
        <x:v>Mettawa, IL salary range is $65,500-$125,500. Only the upper portion should be targeted to clear the applicable Chicago-area Level 1 prevailing wage; verify against the final worksite and offered salary.</x:v>
      </x:c>
      <x:c r="O313" s="31" t="str">
        <x:v>Mettawa, IL</x:v>
      </x:c>
      <x:c r="P313" s="31" t="str">
        <x:v>None listed</x:v>
      </x:c>
      <x:c r="Q313" s="31" t="str">
        <x:v>Hybrid</x:v>
      </x:c>
      <x:c r="R313" s="31" t="str">
        <x:v>The posting does not state a sponsorship exclusion. Current U.S. work authorization was answered Yes and future employer sponsorship was answered Yes.</x:v>
      </x:c>
      <x:c r="S313" s="31" t="str">
        <x:v>Strong</x:v>
      </x:c>
      <x:c r="T313" s="31" t="str">
        <x:v>The role accepts a master's degree with no prior full-time experience and closely matches Python, Java, SQL, data pipelines, API integration, LLM/ML and model-ready data infrastructure experience.</x:v>
      </x:c>
      <x:c r="U313" s="31" t="str">
        <x:v>Yuxuan_Chen_Resume_Giga_Software_Engineer_AI_Agents_20260907.pdf</x:v>
      </x:c>
      <x:c r="V313" s="31" t="str">
        <x:v>None. SmartRecruiters technical defect: two required consent/truthfulness checkboxes remain unchecked despite repeated normal mouse, keyboard and accessible-control interactions.</x:v>
      </x:c>
      <x:c r="W313" s="31" t="str">
        <x:v>Application form completed on 2026-09-10 with resume, contact information, experience, education, LinkedIn, GitHub, authorization Yes, future sponsorship Yes, gender Female, race Asian, Hispanic/Latino No, veteran No and disability No. Submission is not yet possible because the two required SmartRecruiters checkbox controls do not respond; retry in a fresh session/browser before submitting.</x:v>
      </x:c>
    </x:row>
    <x:row r="314">
      <x:c r="A314" s="28" t="str">
        <x:v>Boston Consulting Group (BCG X)</x:v>
      </x:c>
      <x:c r="B314" s="28" t="str">
        <x:v>Forward Deployed AI Engineer, Campus, United States - BCG X</x:v>
      </x:c>
      <x:c r="C314" s="28" t="str">
        <x:v>https://www.linkedin.com/jobs/view/4455446931/</x:v>
      </x:c>
      <x:c r="D314" s="28" t="str">
        <x:v>https://studenttalent.bcg.com/careerhub/explore/jobs/790317755881</x:v>
      </x:c>
      <x:c r="E314" s="29" t="str">
        <x:v>LinkedIn reposted 2026-09-10</x:v>
      </x:c>
      <x:c r="F314" s="29" t="str">
        <x:v>2026-09-10</x:v>
      </x:c>
      <x:c r="G314" s="29" t="str">
        <x:v>2026-09-10</x:v>
      </x:c>
      <x:c r="H314" s="29"/>
      <x:c r="I314" s="28" t="str">
        <x:v>Needs input</x:v>
      </x:c>
      <x:c r="J314" s="30" t="n">
        <x:v>110000</x:v>
      </x:c>
      <x:c r="K314" s="30" t="n">
        <x:v>190000</x:v>
      </x:c>
      <x:c r="L314" s="28" t="str">
        <x:v>15-2051</x:v>
      </x:c>
      <x:c r="M314" s="28" t="str">
        <x:v>Data Scientists</x:v>
      </x:c>
      <x:c r="N314" s="31" t="str">
        <x:v>Boston is the preferred listed office. The $110,000-$190,000 first-year base range has substantial room above the Boston-area entry-level prevailing-wage threshold; the final offer must still meet the applicable worksite-specific Level 1 wage.</x:v>
      </x:c>
      <x:c r="O314" s="31" t="str">
        <x:v>Boston, MA</x:v>
      </x:c>
      <x:c r="P314" s="31" t="str">
        <x:v>Los Angeles, Seattle, San Francisco, Manhattan Beach, Dallas, Miami, Brooklyn, New York, Pittsburgh, Washington, Chicago</x:v>
      </x:c>
      <x:c r="Q314" s="31" t="str">
        <x:v>On-site with client travel</x:v>
      </x:c>
      <x:c r="R314" s="31" t="str">
        <x:v>The posting does not state a sponsorship exclusion. BCG is a large established employer with sponsorship history; role-specific support remains subject to hiring review.</x:v>
      </x:c>
      <x:c r="S314" s="31" t="str">
        <x:v>Exceptional</x:v>
      </x:c>
      <x:c r="T314" s="31" t="str">
        <x:v>Exact December 2026-August 2027 graduation window, Python, software engineering, large-scale analytics, AI solution deployment, client-facing work and end-to-end product delivery closely match the resume.</x:v>
      </x:c>
      <x:c r="U314" s="31" t="str">
        <x:v>Yuxuan_Chen_Resume_Giga_Software_Engineer_AI_Agents_20260907.pdf planned</x:v>
      </x:c>
      <x:c r="V314" s="31" t="str">
        <x:v>BCG's candidate portal does not recognize the applicant email and requires creation of a new candidate account and password. Password creation must be completed personally before the application form becomes available.</x:v>
      </x:c>
      <x:c r="W314" s="31" t="str">
        <x:v>High-priority large-employer campus role. Official Job ID 59067 / portal job 790317755881. Application deadline is 2026-09-17 at 11:59 PM ET. Boston is the preferred office. Email login was tested on 2026-09-10 and the portal returned 'We don't recognize this email. Create a new account.' No application-content decision is outstanding.</x:v>
      </x:c>
    </x:row>
    <x:row r="315">
      <x:c r="A315" s="28" t="str">
        <x:v>Echos</x:v>
      </x:c>
      <x:c r="B315" s="28" t="str">
        <x:v>Forward Deployed Engineer — AI Agents &amp; Enterprise Deployment</x:v>
      </x:c>
      <x:c r="C315" s="28" t="str">
        <x:v>https://www.linkedin.com/jobs/view/4464539223/</x:v>
      </x:c>
      <x:c r="D315" s="28" t="str">
        <x:v>https://www.linkedin.com/jobs/view/4464539223/apply/?openSDUIApplyFlow=true</x:v>
      </x:c>
      <x:c r="E315" s="29" t="str">
        <x:v>2026-09-10; approximately 1 hour old when reviewed</x:v>
      </x:c>
      <x:c r="F315" s="29" t="str">
        <x:v>2026-09-10</x:v>
      </x:c>
      <x:c r="G315" s="29" t="str">
        <x:v>2026-09-10</x:v>
      </x:c>
      <x:c r="H315" s="29" t="str">
        <x:v>2026-09-10</x:v>
      </x:c>
      <x:c r="I315" s="28" t="str">
        <x:v>Rejected</x:v>
      </x:c>
      <x:c r="J315" s="30" t="n">
        <x:v>150000</x:v>
      </x:c>
      <x:c r="K315" s="30" t="n">
        <x:v>250000</x:v>
      </x:c>
      <x:c r="L315" s="28" t="str">
        <x:v>15-2051</x:v>
      </x:c>
      <x:c r="M315" s="28" t="str">
        <x:v>Data Scientists</x:v>
      </x:c>
      <x:c r="N315" s="31" t="str">
        <x:v>New York City compensation is $150,000-$250,000 base. The entire range comfortably clears the New York-Newark-Jersey City Level 1 threshold and has substantial room above it; final classification and offered salary remain worksite-specific.</x:v>
      </x:c>
      <x:c r="O315" s="31" t="str">
        <x:v>New York, NY</x:v>
      </x:c>
      <x:c r="P315" s="31" t="str">
        <x:v>None listed</x:v>
      </x:c>
      <x:c r="Q315" s="31" t="str">
        <x:v>Hybrid; embedded on-site with client teams</x:v>
      </x:c>
      <x:c r="R315" s="31" t="str">
        <x:v>The posting does not state a sponsorship exclusion. Current U.S. work authorization was answered Yes and future sponsorship need was answered Yes.</x:v>
      </x:c>
      <x:c r="S315" s="31" t="str">
        <x:v>Exceptional</x:v>
      </x:c>
      <x:c r="T315" s="31" t="str">
        <x:v>Direct overlap with Python, production AI agents, orchestration, tool use, multi-step reasoning, cloud deployment, RAG, LLM evaluation, enterprise data and end-to-end ownership.</x:v>
      </x:c>
      <x:c r="U315" s="31" t="str">
        <x:v>Yuxuan Chen Resume.pdf (saved LinkedIn copy; AI-agents profile)</x:v>
      </x:c>
      <x:c r="V315" s="31" t="str">
        <x:v>None</x:v>
      </x:c>
      <x:c r="W315" s="31" t="str">
        <x:v>Submitted successfully through LinkedIn on 2026-09-10. Contact information, selected resume, current authorization Yes and future sponsorship Yes were transmitted. Rejection received through LinkedIn email on 2026-09-13 at 12:36 PM ET; Echos will not move forward.</x:v>
      </x:c>
    </x:row>
    <x:row r="316">
      <x:c r="A316" s="28" t="str">
        <x:v>Palantir Technologies</x:v>
      </x:c>
      <x:c r="B316" s="28" t="str">
        <x:v>Software Engineer, New Grad - Infrastructure</x:v>
      </x:c>
      <x:c r="C316" s="28" t="str">
        <x:v>https://www.linkedin.com/jobs/view/4464557309/</x:v>
      </x:c>
      <x:c r="D316" s="28" t="str">
        <x:v>https://jobs.lever.co/palantir/4abf26b4-795c-420a-bf22-1ab98db268b4</x:v>
      </x:c>
      <x:c r="E316" s="29" t="str">
        <x:v>LinkedIn reposted 2026-09-10</x:v>
      </x:c>
      <x:c r="F316" s="29" t="str">
        <x:v>2026-09-10</x:v>
      </x:c>
      <x:c r="G316" s="29"/>
      <x:c r="H316" s="29"/>
      <x:c r="I316" s="28" t="str">
        <x:v>Halted</x:v>
      </x:c>
      <x:c r="J316" s="30" t="n">
        <x:v>145000</x:v>
      </x:c>
      <x:c r="K316" s="30" t="n">
        <x:v>155000</x:v>
      </x:c>
      <x:c r="L316" s="28" t="str">
        <x:v>15-1252</x:v>
      </x:c>
      <x:c r="M316" s="28" t="str">
        <x:v>Software Developers</x:v>
      </x:c>
      <x:c r="N316" s="31" t="str">
        <x:v>The New York City $145,000-$155,000 range clears the New York-Newark-Jersey City Software Developers Level 1 threshold and Level 2, but the security-clearance requirement independently disqualifies the role.</x:v>
      </x:c>
      <x:c r="O316" s="31" t="str">
        <x:v>New York, NY</x:v>
      </x:c>
      <x:c r="P316" s="31" t="str">
        <x:v>Separate Palo Alto requisition also exists</x:v>
      </x:c>
      <x:c r="Q316" s="31" t="str">
        <x:v>Hybrid</x:v>
      </x:c>
      <x:c r="R316" s="31" t="str">
        <x:v>Not controlling: the role requires an active U.S. security clearance or eligibility and willingness to obtain one, which is incompatible with the candidate's stated clearance status.</x:v>
      </x:c>
      <x:c r="S316" s="31" t="str">
        <x:v>Exceptional technical fit; clearance-incompatible</x:v>
      </x:c>
      <x:c r="T316" s="31" t="str">
        <x:v>Java, Python, TypeScript, React, REST services, developer infrastructure, storage systems, cloud platforms, build tooling and reliability align strongly, but clearance eligibility is an explicit requirement.</x:v>
      </x:c>
      <x:c r="U316" s="31" t="str">
        <x:v>Not used</x:v>
      </x:c>
      <x:c r="V316" s="31" t="str">
        <x:v>None</x:v>
      </x:c>
      <x:c r="W316" s="31" t="str">
        <x:v>Skipped after full official Lever description review on 2026-09-10 because the role explicitly requires an active U.S. security clearance or eligibility and willingness to obtain one.</x:v>
      </x:c>
    </x:row>
    <x:row r="317">
      <x:c r="A317" s="28" t="str">
        <x:v>Esri</x:v>
      </x:c>
      <x:c r="B317" s="28" t="str">
        <x:v>Application Developer - JavaScript</x:v>
      </x:c>
      <x:c r="C317" s="28" t="str">
        <x:v>https://www.linkedin.com/jobs/view/4446863931/</x:v>
      </x:c>
      <x:c r="D317" s="28" t="str">
        <x:v>https://www.linkedin.com/jobs/view/4446863931/</x:v>
      </x:c>
      <x:c r="E317" s="29" t="str">
        <x:v>LinkedIn reposted 2026-09-10</x:v>
      </x:c>
      <x:c r="F317" s="29" t="str">
        <x:v>2026-09-10</x:v>
      </x:c>
      <x:c r="G317" s="29"/>
      <x:c r="H317" s="29"/>
      <x:c r="I317" s="28" t="str">
        <x:v>Halted</x:v>
      </x:c>
      <x:c r="J317" s="30" t="n">
        <x:v>83720</x:v>
      </x:c>
      <x:c r="K317" s="30" t="n">
        <x:v>141440</x:v>
      </x:c>
      <x:c r="L317" s="28" t="str">
        <x:v>15-1254</x:v>
      </x:c>
      <x:c r="M317" s="28" t="str">
        <x:v>Web Developers</x:v>
      </x:c>
      <x:c r="N317" s="31" t="str">
        <x:v>Denver compensation is $83,720-$141,440 and may clear the applicable entry-level wage, but the explicit no-sponsorship rule independently disqualifies the role.</x:v>
      </x:c>
      <x:c r="O317" s="31" t="str">
        <x:v>Denver, CO</x:v>
      </x:c>
      <x:c r="P317" s="31" t="str">
        <x:v>Separate Philadelphia and Redlands postings exist</x:v>
      </x:c>
      <x:c r="Q317" s="31" t="str">
        <x:v>On-site; 25-50% travel</x:v>
      </x:c>
      <x:c r="R317" s="31" t="str">
        <x:v>Incompatible: the full posting explicitly states visa sponsorship is not available and applicants must be authorized to work for any employer in the United States.</x:v>
      </x:c>
      <x:c r="S317" s="31" t="str">
        <x:v>Exceptional technical fit; sponsorship-incompatible</x:v>
      </x:c>
      <x:c r="T317" s="31" t="str">
        <x:v>JavaScript, TypeScript, React, WebGL, browser-based visualization, prototyping, APIs and CI/CD closely match the resume, but future sponsorship is required.</x:v>
      </x:c>
      <x:c r="U317" s="31" t="str">
        <x:v>Not used</x:v>
      </x:c>
      <x:c r="V317" s="31" t="str">
        <x:v>None</x:v>
      </x:c>
      <x:c r="W317" s="31" t="str">
        <x:v>Skipped immediately after full LinkedIn description review because visa sponsorship is explicitly unavailable.</x:v>
      </x:c>
    </x:row>
    <x:row r="318">
      <x:c r="A318" s="28" t="str">
        <x:v>Penn State University</x:v>
      </x:c>
      <x:c r="B318" s="28" t="str">
        <x:v>Applied AI Engineer - Radiology AI Lab</x:v>
      </x:c>
      <x:c r="C318" s="28" t="str">
        <x:v>https://www.linkedin.com/jobs/view/4464564494/</x:v>
      </x:c>
      <x:c r="D318" s="28" t="str">
        <x:v>https://www.linkedin.com/jobs/view/4464564494/</x:v>
      </x:c>
      <x:c r="E318" s="29" t="str">
        <x:v>2026-09-10; approximately 16 minutes old when reviewed</x:v>
      </x:c>
      <x:c r="F318" s="29" t="str">
        <x:v>2026-09-10</x:v>
      </x:c>
      <x:c r="G318" s="29"/>
      <x:c r="H318" s="29"/>
      <x:c r="I318" s="28" t="str">
        <x:v>Halted</x:v>
      </x:c>
      <x:c r="J318" s="30" t="n">
        <x:v>65508</x:v>
      </x:c>
      <x:c r="K318" s="30" t="n">
        <x:v>108444</x:v>
      </x:c>
      <x:c r="L318" s="28" t="str">
        <x:v>15-2051</x:v>
      </x:c>
      <x:c r="M318" s="28" t="str">
        <x:v>Data Scientists</x:v>
      </x:c>
      <x:c r="N318" s="31" t="str">
        <x:v>Hershey, PA compensation is $65,508-$108,444. The range may overlap a local entry-level wage, but the explicit staff-visa no-sponsorship rule controls the decision.</x:v>
      </x:c>
      <x:c r="O318" s="31" t="str">
        <x:v>Hershey, PA</x:v>
      </x:c>
      <x:c r="P318" s="31" t="str">
        <x:v>None listed</x:v>
      </x:c>
      <x:c r="Q318" s="31" t="str">
        <x:v>On-site; one-year funded position</x:v>
      </x:c>
      <x:c r="R318" s="31" t="str">
        <x:v>Incompatible: Penn State explicitly states it does not sponsor or take over sponsorship of a staff employment visa for this position.</x:v>
      </x:c>
      <x:c r="S318" s="31" t="str">
        <x:v>Exceptional technical fit; sponsorship-incompatible</x:v>
      </x:c>
      <x:c r="T318" s="31" t="str">
        <x:v>Python, LLMs, NLP, multimodal AI, backend/frontend research infrastructure and clinical-workflow prototyping align strongly, but future sponsorship is unavailable.</x:v>
      </x:c>
      <x:c r="U318" s="31" t="str">
        <x:v>Not used</x:v>
      </x:c>
      <x:c r="V318" s="31" t="str">
        <x:v>None</x:v>
      </x:c>
      <x:c r="W318" s="31" t="str">
        <x:v>Skipped after full description review because the posting explicitly excludes staff visa sponsorship. Standard background checks are not the disqualifier.</x:v>
      </x:c>
    </x:row>
    <x:row r="319">
      <x:c r="A319" s="28" t="str">
        <x:v>NYU Langone Health</x:v>
      </x:c>
      <x:c r="B319" s="28" t="str">
        <x:v>Research Engineer</x:v>
      </x:c>
      <x:c r="C319" s="28" t="str">
        <x:v>https://www.linkedin.com/jobs/view/4417553022/</x:v>
      </x:c>
      <x:c r="D319" s="28" t="str">
        <x:v>https://jobs.silkroad.com/NYULangone/NYULHCareers/Apply/MultiForm/120730</x:v>
      </x:c>
      <x:c r="E319" s="29" t="str">
        <x:v>LinkedIn reposted 2026-09-08</x:v>
      </x:c>
      <x:c r="F319" s="29" t="str">
        <x:v>2026-09-10</x:v>
      </x:c>
      <x:c r="G319" s="29" t="str">
        <x:v>2026-09-10</x:v>
      </x:c>
      <x:c r="H319" s="29"/>
      <x:c r="I319" s="28" t="str">
        <x:v>Needs input</x:v>
      </x:c>
      <x:c r="J319" s="30" t="n">
        <x:v>84577.92</x:v>
      </x:c>
      <x:c r="K319" s="30" t="n">
        <x:v>130000</x:v>
      </x:c>
      <x:c r="L319" s="28" t="str">
        <x:v>15-1252</x:v>
      </x:c>
      <x:c r="M319" s="28" t="str">
        <x:v>Software Developers</x:v>
      </x:c>
      <x:c r="N319" s="31" t="str">
        <x:v>New York City salary is $84,577.92-$130,000. Offers at or above the New York-Newark-Jersey City Software Developers Level 1 threshold of $109,845 are compatible; target the upper portion of the range.</x:v>
      </x:c>
      <x:c r="O319" s="31" t="str">
        <x:v>New York, NY</x:v>
      </x:c>
      <x:c r="P319" s="31" t="str">
        <x:v>None listed</x:v>
      </x:c>
      <x:c r="Q319" s="31" t="str">
        <x:v>On-site, Monday-Friday 9 AM-5 PM</x:v>
      </x:c>
      <x:c r="R319" s="31" t="str">
        <x:v>The posting does not state a sponsorship exclusion. The role sits within NYU Grossman School of Medicine, so an institution-level cap-exempt pathway may be possible, but role-specific sponsorship must be confirmed.</x:v>
      </x:c>
      <x:c r="S319" s="31" t="str">
        <x:v>Strong and realistic</x:v>
      </x:c>
      <x:c r="T319" s="31" t="str">
        <x:v>A master's degree satisfies the minimum qualification without the bachelor's-plus-two-years alternative. Python, machine-learning research infrastructure, full-stack tools, large-scale data pipelines and interdisciplinary research closely match the resume; C/C++ and computer vision are gaps.</x:v>
      </x:c>
      <x:c r="U319" s="31" t="str">
        <x:v>Yuxuan_Chen_Resume_Giga_Software_Engineer_AI_Agents_20260907.pdf planned</x:v>
      </x:c>
      <x:c r="V319" s="31" t="str">
        <x:v>None. Technical limitation: the NYU SilkRoad application requires a resume upload, but the current in-app browser file chooser did not attach the selected local PDF after repeated normal and system-level selection attempts.</x:v>
      </x:c>
      <x:c r="W319" s="31" t="str">
        <x:v>High-priority application. The required application attestation was accepted and the external form was opened on 2026-09-10. Submission is paused only at the mandatory resume upload control. NYU states that applicants receive a Talent Plus assessment ten business days after applying.</x:v>
      </x:c>
    </x:row>
    <x:row r="320">
      <x:c r="A320" s="28" t="str">
        <x:v>Twitch Interactive (Amazon)</x:v>
      </x:c>
      <x:c r="B320" s="28" t="str">
        <x:v>Software Engineer I, Payments</x:v>
      </x:c>
      <x:c r="C320" s="28" t="str">
        <x:v>https://www.linkedin.com/jobs/view/4465831223/</x:v>
      </x:c>
      <x:c r="D320" s="28" t="str">
        <x:v>https://www.amazon.jobs/applicant/jobs/10502486/apply</x:v>
      </x:c>
      <x:c r="E320" s="29" t="str">
        <x:v>2026-09-10</x:v>
      </x:c>
      <x:c r="F320" s="29" t="str">
        <x:v>2026-09-10</x:v>
      </x:c>
      <x:c r="G320" s="29" t="str">
        <x:v>2026-09-10</x:v>
      </x:c>
      <x:c r="H320" s="29" t="str">
        <x:v>2026-09-10</x:v>
      </x:c>
      <x:c r="I320" s="28" t="str">
        <x:v>Rejected</x:v>
      </x:c>
      <x:c r="J320" s="30" t="n">
        <x:v>127100</x:v>
      </x:c>
      <x:c r="K320" s="30" t="n">
        <x:v>185000</x:v>
      </x:c>
      <x:c r="L320" s="28" t="str">
        <x:v>15-1252</x:v>
      </x:c>
      <x:c r="M320" s="28" t="str">
        <x:v>Software Developers</x:v>
      </x:c>
      <x:c r="N320" s="31" t="str">
        <x:v>San Francisco-Oakland-Fremont Software Developers Level 1 is $137,093 and Level 2 is $165,131. The posted minimum is $9,993 below Level 1, while $137,093-$185,000 clears Level 1 and the upper portion clears Level 2.</x:v>
      </x:c>
      <x:c r="O320" s="31" t="str">
        <x:v>San Francisco, CA</x:v>
      </x:c>
      <x:c r="P320" s="31" t="str">
        <x:v>None listed</x:v>
      </x:c>
      <x:c r="Q320" s="31" t="str">
        <x:v>On-site</x:v>
      </x:c>
      <x:c r="R320" s="31" t="str">
        <x:v>The posting does not state a sponsorship exclusion. Twitch is an Amazon subsidiary and the application contains a work-eligibility section; future sponsorship will be disclosed truthfully.</x:v>
      </x:c>
      <x:c r="S320" s="31" t="str">
        <x:v>Strong realistic stretch</x:v>
      </x:c>
      <x:c r="T320" s="31" t="str">
        <x:v>The role asks for a CS bachelor's degree, at least one year of non-internship professional development experience, data structures, schema design, technical documentation, Java or another listed language, and AWS familiarity. The combined research-assistant software-development experience supports the one-to-two-year selection; payments experience is only preferred.</x:v>
      </x:c>
      <x:c r="U320" s="31" t="str">
        <x:v>Yuxuan_Chen_Resume_Salesforce_Software_Engineering_AMTS_20260907.pdf (already stored in Amazon profile)</x:v>
      </x:c>
      <x:c r="V320" s="31" t="str">
        <x:v>None</x:v>
      </x:c>
      <x:c r="W320" s="31" t="str">
        <x:v>Submitted successfully on 2026-09-10. Job ID 10502486 / Twitch ID TW9253. Work authorization and future sponsorship requirements were disclosed truthfully. Rejection received from Amazon on 2026-09-12 at 2:04 AM ET after application review.</x:v>
      </x:c>
    </x:row>
    <x:row r="321">
      <x:c r="A321" s="28" t="str">
        <x:v>Cohere</x:v>
      </x:c>
      <x:c r="B321" s="28" t="str">
        <x:v>Software Engineer, Agents &amp; Automations</x:v>
      </x:c>
      <x:c r="C321" s="28" t="str">
        <x:v>https://www.linkedin.com/jobs/view/4427715774/</x:v>
      </x:c>
      <x:c r="D321" s="28" t="str">
        <x:v>https://jobs.ashbyhq.com/cohere/4a3c3eb2-ae2e-4a86-a677-7bdecbc7d76e/application?utm_source=jKNDxYPz51</x:v>
      </x:c>
      <x:c r="E321" s="29" t="str">
        <x:v>LinkedIn reposted 2026-09-10</x:v>
      </x:c>
      <x:c r="F321" s="29" t="str">
        <x:v>2026-09-10</x:v>
      </x:c>
      <x:c r="G321" s="29" t="str">
        <x:v>2026-09-10</x:v>
      </x:c>
      <x:c r="H321" s="29" t="str">
        <x:v>2026-09-13</x:v>
      </x:c>
      <x:c r="I321" s="28" t="str">
        <x:v>Submitted</x:v>
      </x:c>
      <x:c r="J321" s="30" t="n">
        <x:v>150000</x:v>
      </x:c>
      <x:c r="K321" s="30" t="n">
        <x:v>275000</x:v>
      </x:c>
      <x:c r="L321" s="28" t="str">
        <x:v>15-1252</x:v>
      </x:c>
      <x:c r="M321" s="28" t="str">
        <x:v>Software Developers</x:v>
      </x:c>
      <x:c r="N321" s="31" t="str">
        <x:v>Cohere lists $150,000-$275,000 for U.S. states other than California, New York and Washington. For remote work from Massachusetts, the full range clears the Boston-Cambridge-Newton Software Developers Level 1 threshold of $114,275 and begins above Level 2 of $138,237.</x:v>
      </x:c>
      <x:c r="O321" s="31" t="str">
        <x:v>Remote from Massachusetts</x:v>
      </x:c>
      <x:c r="P321" s="31" t="str">
        <x:v>United States; Canada; London; Europe; New York City; San Francisco; Montreal; Paris; Berlin; Seoul</x:v>
      </x:c>
      <x:c r="Q321" s="31" t="str">
        <x:v>Remote-friendly; daily collaboration window approximately 9 AM-12 PM Eastern</x:v>
      </x:c>
      <x:c r="R321" s="31" t="str">
        <x:v>The posting does not state a sponsorship exclusion. The form asks whether the applicant currently has the legal right to work in the employing country without visa sponsorship; answer Yes based on authorized F-1 OPT employment, while future sponsorship remains required and must be disclosed if asked later.</x:v>
      </x:c>
      <x:c r="S321" s="31" t="str">
        <x:v>Exceptional</x:v>
      </x:c>
      <x:c r="T321" s="31" t="str">
        <x:v>Direct overlap with AI agents, workflow execution, Playwright-style browser automation, debugging, observability, evaluations, Python, TypeScript/React and PostgreSQL. The posting gives no minimum years and explicitly emphasizes shipped production work, agency and learning ability over matching every stack component.</x:v>
      </x:c>
      <x:c r="U321" s="31" t="str">
        <x:v>Yuxuan_Chen_Resume_Giga_Software_Engineer_AI_Agents_20260907.pdf</x:v>
      </x:c>
      <x:c r="V321" s="31" t="str">
        <x:v>None</x:v>
      </x:c>
      <x:c r="W321" s="31" t="str">
        <x:v>Successfully submitted through the official Cohere Ashby form on 2026-09-13; authoritative Success message displayed. Selected Malden, Massachusetts, Eastern Time collaboration availability and current U.S. work authorization without employer sponsorship. Tailored response focused on agent evaluation, debugging tools, observability and workflow execution.</x:v>
      </x:c>
    </x:row>
    <x:row r="322">
      <x:c r="A322" s="28" t="str">
        <x:v>Cognizant</x:v>
      </x:c>
      <x:c r="B322" s="28" t="str">
        <x:v>Machine Learning Engineer (Agentic AI)</x:v>
      </x:c>
      <x:c r="C322" s="28" t="str">
        <x:v>https://www.linkedin.com/jobs/view/4455498028/</x:v>
      </x:c>
      <x:c r="D322" s="28" t="str">
        <x:v>https://cognizant.taleo.net/careersection/Lateral/jobapply.ftl?job=00070338781&amp;lang=en&amp;source=CWS-13082&amp;src=CWS-13082</x:v>
      </x:c>
      <x:c r="E322" s="29" t="str">
        <x:v>Official posting 2026-08-19; LinkedIn reposted 2026-09-10</x:v>
      </x:c>
      <x:c r="F322" s="29" t="str">
        <x:v>2026-09-10</x:v>
      </x:c>
      <x:c r="G322" s="29" t="str">
        <x:v>2026-09-10</x:v>
      </x:c>
      <x:c r="H322" s="29" t="str">
        <x:v>2026-09-10</x:v>
      </x:c>
      <x:c r="I322" s="28" t="str">
        <x:v>Rejected</x:v>
      </x:c>
      <x:c r="J322" s="30" t="n">
        <x:v>110000</x:v>
      </x:c>
      <x:c r="K322" s="30" t="n">
        <x:v>135000</x:v>
      </x:c>
      <x:c r="L322" s="28" t="str">
        <x:v>15-2051</x:v>
      </x:c>
      <x:c r="M322" s="28" t="str">
        <x:v>Data Scientists</x:v>
      </x:c>
      <x:c r="N322" s="31" t="str">
        <x:v>New York-Newark-Jersey City Data Scientists Level 1 is approximately $111,000-$115,000 in the supplied wage data. The posted minimum is slightly below that threshold, while most of the range through $135,000 can clear Level 1; target an offer of at least the applicable Level 1 wage.</x:v>
      </x:c>
      <x:c r="O322" s="31" t="str">
        <x:v>New York, NY</x:v>
      </x:c>
      <x:c r="P322" s="31" t="str">
        <x:v>None listed</x:v>
      </x:c>
      <x:c r="Q322" s="31" t="str">
        <x:v>Hybrid, three days per week</x:v>
      </x:c>
      <x:c r="R322" s="31" t="str">
        <x:v>The posting does not state a sponsorship exclusion. Cognizant is a large historical H-1B sponsor, but role-specific future sponsorship is not guaranteed.</x:v>
      </x:c>
      <x:c r="S322" s="31" t="str">
        <x:v>Strong</x:v>
      </x:c>
      <x:c r="T322" s="31" t="str">
        <x:v>Agentic AI, Python, SQL, REST APIs, cloud deployment, data pipelines, CI/CD, model monitoring and observability align closely. TensorFlow/PyTorch, Spark and direct enterprise ML deployment are weaker areas but are partly offset by production-style research and internship systems work.</x:v>
      </x:c>
      <x:c r="U322" s="31" t="str">
        <x:v>Yuxuan_Chen_Resume_Giga_Software_Engineer_AI_Agents_20260907.pdf</x:v>
      </x:c>
      <x:c r="V322" s="31" t="str">
        <x:v>None</x:v>
      </x:c>
      <x:c r="W322" s="31" t="str">
        <x:v>Submitted successfully on 2026-09-10. A Cognizant candidate account was created with the candidate email; credentials were not stored in the tracker. Requisition 00070338781. Rejection received by email on 2026-09-11 at 5:10 PM ET; Cognizant decided not to advance the candidacy.</x:v>
      </x:c>
    </x:row>
    <x:row r="323">
      <x:c r="A323" s="28" t="str">
        <x:v>Replit</x:v>
      </x:c>
      <x:c r="B323" s="28" t="str">
        <x:v>Software Engineer - New Grad (2027)</x:v>
      </x:c>
      <x:c r="C323" s="28" t="str">
        <x:v>https://www.linkedin.com/jobs/view/4465831640/</x:v>
      </x:c>
      <x:c r="D323" s="28" t="str">
        <x:v>https://jobs.ashbyhq.com/Replit/b5e81eae-06f9-4798-8988-2d06ca936dbc/application</x:v>
      </x:c>
      <x:c r="E323" s="29" t="str">
        <x:v>2026-09-09</x:v>
      </x:c>
      <x:c r="F323" s="29" t="str">
        <x:v>2026-09-10</x:v>
      </x:c>
      <x:c r="G323" s="29" t="str">
        <x:v>2026-09-10</x:v>
      </x:c>
      <x:c r="H323" s="29" t="str">
        <x:v>2026-09-13</x:v>
      </x:c>
      <x:c r="I323" s="28" t="str">
        <x:v>Submitted</x:v>
      </x:c>
      <x:c r="J323" s="30" t="n">
        <x:v>140000</x:v>
      </x:c>
      <x:c r="K323" s="30" t="n">
        <x:v>180000</x:v>
      </x:c>
      <x:c r="L323" s="28" t="str">
        <x:v>15-1252</x:v>
      </x:c>
      <x:c r="M323" s="28" t="str">
        <x:v>Software Developers</x:v>
      </x:c>
      <x:c r="N323" s="31" t="str">
        <x:v>Foster City is in the San Francisco-Oakland-Fremont area. The posted $140,000-$180,000 base range clears the supplied Software Developers Level 1 threshold of $137,093; the upper portion also clears Level 2 of $165,131.</x:v>
      </x:c>
      <x:c r="O323" s="31" t="str">
        <x:v>Foster City, CA</x:v>
      </x:c>
      <x:c r="P323" s="31" t="str">
        <x:v>None listed</x:v>
      </x:c>
      <x:c r="Q323" s="31" t="str">
        <x:v>Hybrid; Foster City office Monday, Wednesday and Friday</x:v>
      </x:c>
      <x:c r="R323" s="31" t="str">
        <x:v>The official posting does not state a sponsorship exclusion. The application asks whether future employment-visa sponsorship is required; answer Yes.</x:v>
      </x:c>
      <x:c r="S323" s="31" t="str">
        <x:v>Exceptional</x:v>
      </x:c>
      <x:c r="T323" s="31" t="str">
        <x:v>Exact new-grad timing plus direct alignment with Python, TypeScript, React, databases, full-stack systems, browser automation, agentic workflows and cloud infrastructure. GEO Engine is a strong required project submission.</x:v>
      </x:c>
      <x:c r="U323" s="31" t="str">
        <x:v>Yuxuan_Chen_Resume_Giga_Software_Engineer_AI_Agents_20260907.pdf</x:v>
      </x:c>
      <x:c r="V323" s="31" t="str">
        <x:v>None</x:v>
      </x:c>
      <x:c r="W323" s="31" t="str">
        <x:v>Submitted successfully through the official Ashby form on 2026-09-13. Project submitted: https://github.com/MelanthaChen/geo-engine with N/A password. Tailored project and motivation responses highlighted the React/FastAPI architecture, 47 REST APIs, PostgreSQL, Playwright agent workflows, LLM integrations and reproducible benchmark evaluation. Selected ability to work three days in Foster City, willingness to relocate, current U.S. work authorization Yes, future sponsorship Yes, female, Asian, and not a protected veteran.</x:v>
      </x:c>
    </x:row>
    <x:row r="324">
      <x:c r="A324" s="28" t="str">
        <x:v>Valerie Health</x:v>
      </x:c>
      <x:c r="B324" s="28" t="str">
        <x:v>Software Engineer - Product</x:v>
      </x:c>
      <x:c r="C324" s="28" t="str">
        <x:v>https://www.linkedin.com/jobs/view/4465834627/</x:v>
      </x:c>
      <x:c r="D324" s="28" t="str">
        <x:v>https://jobs.ashbyhq.com/valeriehealth/edb62ab5-faaa-4462-a40f-3372211e2ab8/application?utm_source=AjbpzQmRyq</x:v>
      </x:c>
      <x:c r="E324" s="29" t="str">
        <x:v>2026-09-10</x:v>
      </x:c>
      <x:c r="F324" s="29" t="str">
        <x:v>2026-09-10</x:v>
      </x:c>
      <x:c r="G324" s="29" t="str">
        <x:v>2026-09-14</x:v>
      </x:c>
      <x:c r="H324" s="29" t="str">
        <x:v>2026-09-14</x:v>
      </x:c>
      <x:c r="I324" s="28" t="str">
        <x:v>Submitted</x:v>
      </x:c>
      <x:c r="J324" s="30"/>
      <x:c r="K324" s="30"/>
      <x:c r="L324" s="28" t="str">
        <x:v>15-1252</x:v>
      </x:c>
      <x:c r="M324" s="28" t="str">
        <x:v>Software Developers</x:v>
      </x:c>
      <x:c r="N324" s="31" t="str">
        <x:v>The role is on-site in San Francisco, but no salary range is disclosed. Compliance with the supplied San Francisco Software Developers Level 1 threshold of $137,093 cannot yet be verified; prioritize only if compensation and sponsorship can be confirmed.</x:v>
      </x:c>
      <x:c r="O324" s="31" t="str">
        <x:v>San Francisco, CA</x:v>
      </x:c>
      <x:c r="P324" s="31" t="str">
        <x:v>None listed</x:v>
      </x:c>
      <x:c r="Q324" s="31" t="str">
        <x:v>On-site</x:v>
      </x:c>
      <x:c r="R324" s="31" t="str">
        <x:v>Not stated; small startup employer and role-specific sponsorship require verification before application.</x:v>
      </x:c>
      <x:c r="S324" s="31" t="str">
        <x:v>Strong skills match; immigration uncertainty</x:v>
      </x:c>
      <x:c r="T324" s="31" t="str">
        <x:v>Direct overlap with ML infrastructure, LLM workflows, computer-use automation, product engineering and full-stack ownership. The concise posting gives no minimum-years requirement, but salary and sponsorship are undisclosed.</x:v>
      </x:c>
      <x:c r="U324" s="31" t="str">
        <x:v>Yuxuan_Chen_Resume_Salesforce_Software_Engineering_AMTS_20260907.pdf</x:v>
      </x:c>
      <x:c r="V324" s="31" t="str">
        <x:v>None</x:v>
      </x:c>
      <x:c r="W324" s="31" t="str">
        <x:v>Submitted successfully through Ashby on 2026-09-14 with contact details, LinkedIn and full-stack resume. Confirmed willingness to relocate and work four days per week in downtown San Francisco. Salary and future sponsorship remain undisclosed.</x:v>
      </x:c>
    </x:row>
    <x:row r="325">
      <x:c r="A325" s="28" t="str">
        <x:v>ElevenLabs</x:v>
      </x:c>
      <x:c r="B325" s="28" t="str">
        <x:v>Forward Deployed Engineer - Software Engineer - North America</x:v>
      </x:c>
      <x:c r="C325" s="28" t="str">
        <x:v>https://www.linkedin.com/jobs/view/4361668116/</x:v>
      </x:c>
      <x:c r="D325" s="28" t="str">
        <x:v>https://jobs.ashbyhq.com/elevenlabs/6c4c57c1-ec72-42ba-af3a-eb7aebbde2e6/application?utm_source=linkedin</x:v>
      </x:c>
      <x:c r="E325" s="29" t="str">
        <x:v>LinkedIn reposted 2026-09-09</x:v>
      </x:c>
      <x:c r="F325" s="29" t="str">
        <x:v>2026-09-10</x:v>
      </x:c>
      <x:c r="G325" s="29" t="str">
        <x:v>2026-09-10</x:v>
      </x:c>
      <x:c r="H325" s="29" t="str">
        <x:v>2026-09-13</x:v>
      </x:c>
      <x:c r="I325" s="28" t="str">
        <x:v>Submitted</x:v>
      </x:c>
      <x:c r="J325" s="30"/>
      <x:c r="K325" s="30"/>
      <x:c r="L325" s="28" t="str">
        <x:v>15-1252</x:v>
      </x:c>
      <x:c r="M325" s="28" t="str">
        <x:v>Software Developers</x:v>
      </x:c>
      <x:c r="N325" s="31" t="str">
        <x:v>The official posting does not disclose salary. The role can be performed from anywhere in the United States, with New York or San Francisco preferred, so the applicable worksite wage cannot be confirmed until compensation and assigned work location are established.</x:v>
      </x:c>
      <x:c r="O325" s="31" t="str">
        <x:v>Remote from Massachusetts</x:v>
      </x:c>
      <x:c r="P325" s="31" t="str">
        <x:v>New York; San Francisco; anywhere in the United States</x:v>
      </x:c>
      <x:c r="Q325" s="31" t="str">
        <x:v>Remote-first; regular travel to customer sites</x:v>
      </x:c>
      <x:c r="R325" s="31" t="str">
        <x:v>The official posting does not state a sponsorship exclusion. Future sponsorship should be disclosed if requested during later stages.</x:v>
      </x:c>
      <x:c r="S325" s="31" t="str">
        <x:v>Exceptional</x:v>
      </x:c>
      <x:c r="T325" s="31" t="str">
        <x:v>Strong direct match for Python, software architecture, API integrations, customer-facing technical work, agent systems and end-to-end delivery. The posting has no minimum-years requirement and explicitly accepts customer experience from student clubs or side projects.</x:v>
      </x:c>
      <x:c r="U325" s="31" t="str">
        <x:v>Yuxuan_Chen_Resume_Giga_Software_Engineer_AI_Agents_20260907.pdf</x:v>
      </x:c>
      <x:c r="V325" s="31" t="str">
        <x:v>None</x:v>
      </x:c>
      <x:c r="W325" s="31" t="str">
        <x:v>Submitted successfully through the official Ashby form on 2026-09-13. Selected United States and LinkedIn/social media as discovery source. Tailored responses covered motivation for production voice infrastructure, GEO Engine's React/FastAPI architecture, 47 APIs, PostgreSQL, Playwright agents, repeatable experiment validation, and the truthful statement that ElevenLabs has not yet been used directly.</x:v>
      </x:c>
    </x:row>
    <x:row r="326">
      <x:c r="A326" s="28" t="str">
        <x:v>Pylon</x:v>
      </x:c>
      <x:c r="B326" s="28" t="str">
        <x:v>Software Engineer, New Grad</x:v>
      </x:c>
      <x:c r="C326" s="28" t="str">
        <x:v>Not captured</x:v>
      </x:c>
      <x:c r="D326" s="28" t="str">
        <x:v>https://jobs.ashbyhq.com/pylon-labs/38814ce7-217b-40f2-9ba5-8a7733a5691d/application</x:v>
      </x:c>
      <x:c r="E326" s="29" t="str">
        <x:v>Recently indexed; verified 2026-09-13</x:v>
      </x:c>
      <x:c r="F326" s="29" t="str">
        <x:v>2026-09-13</x:v>
      </x:c>
      <x:c r="G326" s="29" t="str">
        <x:v>2026-09-13</x:v>
      </x:c>
      <x:c r="H326" s="29" t="str">
        <x:v>2026-09-13</x:v>
      </x:c>
      <x:c r="I326" s="28" t="str">
        <x:v>Submitted</x:v>
      </x:c>
      <x:c r="J326" s="30" t="n">
        <x:v>150000</x:v>
      </x:c>
      <x:c r="K326" s="30" t="n">
        <x:v>180000</x:v>
      </x:c>
      <x:c r="L326" s="28" t="str">
        <x:v>15-1252</x:v>
      </x:c>
      <x:c r="M326" s="28" t="str">
        <x:v>Software Developers</x:v>
      </x:c>
      <x:c r="N326" s="31" t="str">
        <x:v>San Francisco Software Developers Level 1 is $137,093 and Level 2 is $165,131 in the supplied wage data. The entire $150,000-$180,000 range clears Level 1; compensation from $165,131 clears Level 2.</x:v>
      </x:c>
      <x:c r="O326" s="31" t="str">
        <x:v>San Francisco, CA</x:v>
      </x:c>
      <x:c r="P326" s="31" t="str">
        <x:v>None listed</x:v>
      </x:c>
      <x:c r="Q326" s="31" t="str">
        <x:v>Fully on-site, five days per week</x:v>
      </x:c>
      <x:c r="R326" s="31" t="str">
        <x:v>The application explicitly accepts a Yes response to future visa sponsorship and asks for current visa status. No role-specific promise is stated; answer F-1, OPT pending, STEM OPT eligible, future H-1B sponsorship required.</x:v>
      </x:c>
      <x:c r="S326" s="31" t="str">
        <x:v>Exceptional</x:v>
      </x:c>
      <x:c r="T326" s="31" t="str">
        <x:v>Exact new-grad timing and direct overlap with full-stack product development, Python, TypeScript, React, APIs, databases, AI-agent systems, independent prototyping and end-to-end ownership. Prior internship and research experience satisfy the experience profile.</x:v>
      </x:c>
      <x:c r="U326" s="31" t="str">
        <x:v>Yuxuan_Chen_Resume_Giga_Software_Engineer_AI_Agents_20260907.pdf</x:v>
      </x:c>
      <x:c r="V326" s="31" t="str">
        <x:v>None</x:v>
      </x:c>
      <x:c r="W326" s="31" t="str">
        <x:v>Submitted successfully through the official Ashby form on 2026-09-13. Selected relocation within 1-2 months, future sponsorship Yes, and disclosed F-1 status with OPT pending, requested 2027-02-18 through 2028-02-17, STEM OPT eligibility and future H-1B need. Startup response truthfully described the Software Velocity internship and small Northeastern research teams.</x:v>
      </x:c>
    </x:row>
    <x:row r="327">
      <x:c r="A327" s="28" t="str">
        <x:v>Sierra</x:v>
      </x:c>
      <x:c r="B327" s="28" t="str">
        <x:v>Software Engineer, Agent (New Grad 2027)</x:v>
      </x:c>
      <x:c r="C327" s="28" t="str">
        <x:v>Not captured</x:v>
      </x:c>
      <x:c r="D327" s="28" t="str">
        <x:v>https://jobs.ashbyhq.com/sierra/149f368c-52d5-408f-ba26-ad888f318a00/application</x:v>
      </x:c>
      <x:c r="E327" s="29" t="str">
        <x:v>Recently indexed; verified 2026-09-13</x:v>
      </x:c>
      <x:c r="F327" s="29" t="str">
        <x:v>2026-09-13</x:v>
      </x:c>
      <x:c r="G327" s="29" t="str">
        <x:v>2026-09-13</x:v>
      </x:c>
      <x:c r="H327" s="29"/>
      <x:c r="I327" s="28" t="str">
        <x:v>Needs input</x:v>
      </x:c>
      <x:c r="J327" s="30" t="n">
        <x:v>150000</x:v>
      </x:c>
      <x:c r="K327" s="30" t="n">
        <x:v>180000</x:v>
      </x:c>
      <x:c r="L327" s="28" t="str">
        <x:v>15-1252</x:v>
      </x:c>
      <x:c r="M327" s="28" t="str">
        <x:v>Software Developers</x:v>
      </x:c>
      <x:c r="N327" s="31" t="str">
        <x:v>For San Francisco, the $150,000-$180,000 range clears Software Developers Level 1 of $137,093, with amounts from $165,131 clearing Level 2. For New York, the entire range also clears the supplied Level 1 threshold; New York is preferred because it is closer to Massachusetts.</x:v>
      </x:c>
      <x:c r="O327" s="31" t="str">
        <x:v>New York, NY</x:v>
      </x:c>
      <x:c r="P327" s="31" t="str">
        <x:v>San Francisco, CA</x:v>
      </x:c>
      <x:c r="Q327" s="31" t="str">
        <x:v>Primarily in-person/on-site</x:v>
      </x:c>
      <x:c r="R327" s="31" t="str">
        <x:v>The official application permits Yes to current U.S. work authorization and Yes to future visa sponsorship. The posting does not guarantee sponsorship.</x:v>
      </x:c>
      <x:c r="S327" s="31" t="str">
        <x:v>Exceptional technical fit; required-answer ambiguity</x:v>
      </x:c>
      <x:c r="T327" s="31" t="str">
        <x:v>Strong direct match to production-style AI agents, evaluation frameworks, RAG, prompt engineering, React, TypeScript, customer-facing technical work, ambiguous problem solving and end-to-end system ownership.</x:v>
      </x:c>
      <x:c r="U327" s="31" t="str">
        <x:v>Yuxuan_Chen_Resume_Giga_Software_Engineer_AI_Agents_20260907.pdf planned</x:v>
      </x:c>
      <x:c r="V327" s="31" t="str">
        <x:v>Required name pronunciation is not provided. The graduation-season choices are Winter 2027, Spring 2027 or Fall 2027, while the actual graduation date is December 2026; this must not be guessed. Sierra also limits candidates to one new-grad application.</x:v>
      </x:c>
      <x:c r="W327" s="31" t="str">
        <x:v>Official Ashby description and form verified on 2026-09-13. The role is a strong target, but the one-application limit and mismatched required graduation-season options make submission unsafe until the form's intended interpretation is confirmed. GPA is optional and may be omitted.</x:v>
      </x:c>
    </x:row>
    <x:row r="328">
      <x:c r="A328" s="28" t="str">
        <x:v>Wispr Flow</x:v>
      </x:c>
      <x:c r="B328" s="28" t="str">
        <x:v>Forward Deployed Engineer</x:v>
      </x:c>
      <x:c r="C328" s="28" t="str">
        <x:v>https://www.linkedin.com/jobs/view/4467011070/</x:v>
      </x:c>
      <x:c r="D328" s="28" t="str">
        <x:v>https://jobs.ashbyhq.com/wispr-flow/a093f7f3-d472-4f5e-bf88-96493915960a/application</x:v>
      </x:c>
      <x:c r="E328" s="29" t="str">
        <x:v>2026-09-13</x:v>
      </x:c>
      <x:c r="F328" s="29" t="str">
        <x:v>2026-09-13</x:v>
      </x:c>
      <x:c r="G328" s="29" t="str">
        <x:v>2026-09-13</x:v>
      </x:c>
      <x:c r="H328" s="29" t="str">
        <x:v>2026-09-13</x:v>
      </x:c>
      <x:c r="I328" s="28" t="str">
        <x:v>Submitted</x:v>
      </x:c>
      <x:c r="J328" s="30" t="n">
        <x:v>180000</x:v>
      </x:c>
      <x:c r="K328" s="30" t="n">
        <x:v>350000</x:v>
      </x:c>
      <x:c r="L328" s="28" t="str">
        <x:v>15-1252</x:v>
      </x:c>
      <x:c r="M328" s="28" t="str">
        <x:v>Software Developers</x:v>
      </x:c>
      <x:c r="N328" s="31" t="str">
        <x:v>The posted $180,000-$350,000 base range clears the supplied San Francisco Software Developers Level 1 threshold of $137,093 and Level 2 threshold of $165,131 throughout the full range. It also comfortably clears Massachusetts Level 1 if assigned as a remote Massachusetts worksite.</x:v>
      </x:c>
      <x:c r="O328" s="31" t="str">
        <x:v>Remote from Massachusetts</x:v>
      </x:c>
      <x:c r="P328" s="31" t="str">
        <x:v>San Francisco, CA; Remote (US)</x:v>
      </x:c>
      <x:c r="Q328" s="31" t="str">
        <x:v>Official posting lists San Francisco and Remote US, while also labeling the role on-site; the form permits Bay Area relocation, remote-only, or monthly travel to San Francisco.</x:v>
      </x:c>
      <x:c r="R328" s="31" t="str">
        <x:v>Explicitly states sponsorship support for H-1B, O-1, EB-1, L-1, STEM OPT and more. Wispr cannot guarantee sponsorship for every role but promises reasonable efforts with immigration counsel after an offer.</x:v>
      </x:c>
      <x:c r="S328" s="31" t="str">
        <x:v>Exceptional technical fit; realistic stretch on direct customer deployments</x:v>
      </x:c>
      <x:c r="T328" s="31" t="str">
        <x:v>Direct match to AI-agent systems, APIs, integrations, identity/session management, data workflows, full-stack development, experimentation, debugging, communication and end-to-end ownership. The main gap is limited formal production deployment experience directly inside enterprise customer environments; the posting encourages applicants who do not meet every qualification.</x:v>
      </x:c>
      <x:c r="U328" s="31" t="str">
        <x:v>Yuxuan_Chen_Resume_Giga_Software_Engineer_AI_Agents_20260907.pdf</x:v>
      </x:c>
      <x:c r="V328" s="31" t="str">
        <x:v>None</x:v>
      </x:c>
      <x:c r="W328" s="31" t="str">
        <x:v>Submitted successfully through the official Ashby form on 2026-09-13. Selected No, but willing to relocate and current U.S. work authorization Yes. Tailored responses highlighted GEO Engine's React/FastAPI architecture, 47 APIs, PostgreSQL, LLM integrations, persistent Playwright workflows and reproducible benchmark engine. The optional 1-2 minute video was omitted under the candidate's optional-document policy.</x:v>
      </x:c>
    </x:row>
    <x:row r="329">
      <x:c r="A329" s="28" t="str">
        <x:v>Arch</x:v>
      </x:c>
      <x:c r="B329" s="28" t="str">
        <x:v>Software Engineer | Early Careers, 2027 Start</x:v>
      </x:c>
      <x:c r="C329" s="28" t="str">
        <x:v>https://www.linkedin.com/company/archsoftware/jobs/</x:v>
      </x:c>
      <x:c r="D329" s="28" t="str">
        <x:v>https://jobs.ashbyhq.com/arch.co/9fde8d03-9f47-44ac-bd14-53829722c06d/application</x:v>
      </x:c>
      <x:c r="E329" s="29" t="str">
        <x:v>Approximately 1 week before verification</x:v>
      </x:c>
      <x:c r="F329" s="29" t="str">
        <x:v>2026-09-13</x:v>
      </x:c>
      <x:c r="G329" s="29" t="str">
        <x:v>2026-09-13</x:v>
      </x:c>
      <x:c r="H329" s="29" t="str">
        <x:v>2026-09-13</x:v>
      </x:c>
      <x:c r="I329" s="28" t="str">
        <x:v>Submitted</x:v>
      </x:c>
      <x:c r="J329" s="30" t="n">
        <x:v>100000</x:v>
      </x:c>
      <x:c r="K329" s="30" t="n">
        <x:v>180000</x:v>
      </x:c>
      <x:c r="L329" s="28" t="str">
        <x:v>15-1252</x:v>
      </x:c>
      <x:c r="M329" s="28" t="str">
        <x:v>Software Developers</x:v>
      </x:c>
      <x:c r="N329" s="31" t="str">
        <x:v>New York-Newark-Jersey City Software Developers Level 1 is $109,845 and Level 2 is $137,717 in the supplied wage data. The posted $100,000 minimum is $9,845 below Level 1, but most of the range clears Level 1 and compensation from $137,717 clears Level 2. Proceed only with a base offer at or above the applicable Level 1 wage.</x:v>
      </x:c>
      <x:c r="O329" s="31" t="str">
        <x:v>New York, NY</x:v>
      </x:c>
      <x:c r="P329" s="31" t="str">
        <x:v>None listed</x:v>
      </x:c>
      <x:c r="Q329" s="31" t="str">
        <x:v>On-site; application requires comfort commuting at least four days per week</x:v>
      </x:c>
      <x:c r="R329" s="31" t="str">
        <x:v>The official application expressly allows Yes to current or future visa sponsorship. The posting does not promise sponsorship, so role-specific support remains unconfirmed.</x:v>
      </x:c>
      <x:c r="S329" s="31" t="str">
        <x:v>Exceptional</x:v>
      </x:c>
      <x:c r="T329" s="31" t="str">
        <x:v>Exact December 2026 graduation eligibility plus strong alignment with Python, TypeScript, React, APIs, SQL, data-heavy automation, reusable components, debugging, performance, scalability and end-to-end ownership. Internship, research and personal-project experience satisfy the early-career profile.</x:v>
      </x:c>
      <x:c r="U329" s="31" t="str">
        <x:v>Yuxuan_Chen_Resume_Zip_Software_Engineer_New_Grad_20260907.pdf</x:v>
      </x:c>
      <x:c r="V329" s="31" t="str">
        <x:v>None</x:v>
      </x:c>
      <x:c r="W329" s="31" t="str">
        <x:v>Submitted successfully through the official Ashby form on 2026-09-13. Entered Northeastern University M.S. in Software Engineering Systems, September 2024-December 2026, 3.4 GPA; selected graduation eligibility Yes, future sponsorship Yes, four-day commute Yes, finance-industry experience No, Excel 4-6 years, SQL 1-3 years, and LinkedIn as discovery source.</x:v>
      </x:c>
    </x:row>
    <x:row r="330">
      <x:c r="A330" s="28" t="str">
        <x:v>Stripe</x:v>
      </x:c>
      <x:c r="B330" s="28" t="str">
        <x:v>AI Engineer</x:v>
      </x:c>
      <x:c r="C330" s="28" t="str">
        <x:v>https://www.linkedin.com/jobs/view/4454548339/</x:v>
      </x:c>
      <x:c r="D330" s="28" t="str">
        <x:v>https://stripe.com/careers/listing/ai-engineer/8044460</x:v>
      </x:c>
      <x:c r="E330" s="29" t="str">
        <x:v>LinkedIn reposted 2026-09-13</x:v>
      </x:c>
      <x:c r="F330" s="29" t="str">
        <x:v>2026-09-13</x:v>
      </x:c>
      <x:c r="G330" s="29"/>
      <x:c r="H330" s="29"/>
      <x:c r="I330" s="28" t="str">
        <x:v>Halted</x:v>
      </x:c>
      <x:c r="J330" s="30" t="n">
        <x:v>126600</x:v>
      </x:c>
      <x:c r="K330" s="30" t="n">
        <x:v>189800</x:v>
      </x:c>
      <x:c r="L330" s="28" t="str">
        <x:v>15-2051</x:v>
      </x:c>
      <x:c r="M330" s="28" t="str">
        <x:v>Data Scientists</x:v>
      </x:c>
      <x:c r="N330" s="31" t="str">
        <x:v>Atlanta-Sandy Springs-Roswell Data Scientists levels are L1 $77,875, L2 $98,946, L3 $120,037 and L4 $141,107. The full $126,600-$189,800 range clears Level 3, and offers from $141,107 clear Level 4.</x:v>
      </x:c>
      <x:c r="O330" s="31" t="str">
        <x:v>Atlanta, GA</x:v>
      </x:c>
      <x:c r="P330" s="31" t="str">
        <x:v>None shown on the LinkedIn listing</x:v>
      </x:c>
      <x:c r="Q330" s="31" t="str">
        <x:v>On-site; Stripe generally expects office-assigned employees to spend at least 50% of the month in their local office or with users</x:v>
      </x:c>
      <x:c r="R330" s="31" t="str">
        <x:v>The posting does not state a sponsorship restriction, but no application was started because the experience requirement is not realistic.</x:v>
      </x:c>
      <x:c r="S330" s="31" t="str">
        <x:v>Low due to seniority</x:v>
      </x:c>
      <x:c r="T330" s="31" t="str">
        <x:v>The AI-agent, workflow automation, Python, cloud and internal-tooling scope aligns strongly, but the role requires 4+ years shipping production systems and independent delivery across multiple production codebases. The current profile does not realistically meet that minimum.</x:v>
      </x:c>
      <x:c r="U330" s="31" t="str">
        <x:v>Not used</x:v>
      </x:c>
      <x:c r="V330" s="31" t="str">
        <x:v>None</x:v>
      </x:c>
      <x:c r="W330" s="31" t="str">
        <x:v>Full LinkedIn description and official application URL reviewed. Halted immediately because the four-year production-engineering minimum makes the role unrealistic despite strong technical keyword overlap.</x:v>
      </x:c>
    </x:row>
    <x:row r="331">
      <x:c r="A331" s="28" t="str">
        <x:v>Medley Learning</x:v>
      </x:c>
      <x:c r="B331" s="28" t="str">
        <x:v>Software Engineer</x:v>
      </x:c>
      <x:c r="C331" s="28" t="str">
        <x:v>https://www.linkedin.com/jobs/view/4467020091/</x:v>
      </x:c>
      <x:c r="D331" s="28" t="str">
        <x:v>https://jobs.ashbyhq.com/workshop-hiring/5509bfac-57e5-41bc-86d6-ed4e37fbddcd/application?utm_source=xqlekM7jZb</x:v>
      </x:c>
      <x:c r="E331" s="29" t="str">
        <x:v>2026-09-13; approximately 1 hour old when reviewed</x:v>
      </x:c>
      <x:c r="F331" s="29" t="str">
        <x:v>2026-09-13</x:v>
      </x:c>
      <x:c r="G331" s="29" t="str">
        <x:v>2026-09-14</x:v>
      </x:c>
      <x:c r="H331" s="29" t="str">
        <x:v>2026-09-14</x:v>
      </x:c>
      <x:c r="I331" s="28" t="str">
        <x:v>Rejected</x:v>
      </x:c>
      <x:c r="J331" s="30"/>
      <x:c r="K331" s="30"/>
      <x:c r="L331" s="28" t="str">
        <x:v>15-1252</x:v>
      </x:c>
      <x:c r="M331" s="28" t="str">
        <x:v>Software Developers</x:v>
      </x:c>
      <x:c r="N331" s="31" t="str">
        <x:v>For remote work from Malden, Boston-Cambridge-Newton Software Developers levels are L1 $114,275, L2 $138,237, L3 $162,198 and L4 $186,160. The posting does not disclose salary, so Level 1 compatibility must be verified before accepting an offer.</x:v>
      </x:c>
      <x:c r="O331" s="31" t="str">
        <x:v>Remote from Massachusetts</x:v>
      </x:c>
      <x:c r="P331" s="31" t="str">
        <x:v>Boston, MA listing anchor</x:v>
      </x:c>
      <x:c r="Q331" s="31" t="str">
        <x:v>Remote</x:v>
      </x:c>
      <x:c r="R331" s="31" t="str">
        <x:v>Not stated in the full posting; application may proceed only after the next 30-role grouped confirmation because this is a newly identified employer.</x:v>
      </x:c>
      <x:c r="S331" s="31" t="str">
        <x:v>Strong</x:v>
      </x:c>
      <x:c r="T331" s="31" t="str">
        <x:v>React, TypeScript, browser-extension workflows, DOM interaction, backend APIs, AI-product evaluation and end-to-end ownership align closely with the current resume and Playwright-based research work. The main gaps are MongoDB and explicit UI/UX design ownership.</x:v>
      </x:c>
      <x:c r="U331" s="31" t="str">
        <x:v>Yuxuan_Chen_Resume_Salesforce_Software_Engineering_AMTS_20260907.pdf</x:v>
      </x:c>
      <x:c r="V331" s="31" t="str">
        <x:v>None</x:v>
      </x:c>
      <x:c r="W331" s="31" t="str">
        <x:v>Submitted successfully through Ashby on 2026-09-14 with contact details, LinkedIn and tailored full-stack resume. Future sponsorship requirement disclosed. Optional cover letter and referral fields were left blank. Email update reviewed 2026-09-21. Rejection received 2026-09-14: Medley Learning decided not to move forward with the Software Engineer application.</x:v>
      </x:c>
    </x:row>
    <x:row r="332">
      <x:c r="A332" s="28" t="str">
        <x:v>Citizens</x:v>
      </x:c>
      <x:c r="B332" s="28" t="str">
        <x:v>Software Engineer | Enterprise Technology &amp; Security Development Program</x:v>
      </x:c>
      <x:c r="C332" s="28" t="str">
        <x:v>https://www.linkedin.com/jobs/view/4466792956/</x:v>
      </x:c>
      <x:c r="D332" s="28" t="str">
        <x:v>https://jobs.citizensbank.com/job/-/-/288/100486082816</x:v>
      </x:c>
      <x:c r="E332" s="29" t="str">
        <x:v>2026-09-13; approximately 2 hours old when reviewed</x:v>
      </x:c>
      <x:c r="F332" s="29" t="str">
        <x:v>2026-09-13</x:v>
      </x:c>
      <x:c r="G332" s="29"/>
      <x:c r="H332" s="29"/>
      <x:c r="I332" s="28" t="str">
        <x:v>Halted</x:v>
      </x:c>
      <x:c r="J332" s="30"/>
      <x:c r="K332" s="30"/>
      <x:c r="L332" s="28" t="str">
        <x:v>15-1252</x:v>
      </x:c>
      <x:c r="M332" s="28" t="str">
        <x:v>Software Developers</x:v>
      </x:c>
      <x:c r="N332" s="31" t="str">
        <x:v>The posting does not disclose base salary. Providence-Warwick Software Developers levels are L1 $91,915, L2 $111,530, L3 $131,165 and L4 $150,779, but compensation compatibility cannot be verified without an offer range.</x:v>
      </x:c>
      <x:c r="O332" s="31" t="str">
        <x:v>Johnston, RI</x:v>
      </x:c>
      <x:c r="P332" s="31" t="str">
        <x:v>Phoenix, AZ; Plano, TX</x:v>
      </x:c>
      <x:c r="Q332" s="31" t="str">
        <x:v>On-site</x:v>
      </x:c>
      <x:c r="R332" s="31" t="str">
        <x:v>Explicitly requires permanent U.S. work authorization and states the role is not eligible for CPT, OPT or visa sponsorship now or in the future.</x:v>
      </x:c>
      <x:c r="S332" s="31" t="str">
        <x:v>Ineligible</x:v>
      </x:c>
      <x:c r="T332" s="31" t="str">
        <x:v>The early-career software rotation and technical stack fit, but the permanent-work-authorization restriction directly conflicts with F-1 OPT and future H-1B sponsorship needs.</x:v>
      </x:c>
      <x:c r="U332" s="31" t="str">
        <x:v>Not used</x:v>
      </x:c>
      <x:c r="V332" s="31" t="str">
        <x:v>None</x:v>
      </x:c>
      <x:c r="W332" s="31" t="str">
        <x:v>Full LinkedIn description and official application URL reviewed. Halted immediately because the posting explicitly excludes OPT and future visa sponsorship.</x:v>
      </x:c>
    </x:row>
    <x:row r="333">
      <x:c r="A333" s="28" t="str">
        <x:v>Amazon</x:v>
      </x:c>
      <x:c r="B333" s="28" t="str">
        <x:v>Software Development Engineer, Chronicle</x:v>
      </x:c>
      <x:c r="C333" s="28" t="str">
        <x:v>https://www.linkedin.com/jobs/view/4465373254/</x:v>
      </x:c>
      <x:c r="D333" s="28" t="str">
        <x:v>https://www.amazon.jobs/jobs/10497857/software-development-engineer-chronicle</x:v>
      </x:c>
      <x:c r="E333" s="29" t="str">
        <x:v>LinkedIn posted approximately 4 days before discovery</x:v>
      </x:c>
      <x:c r="F333" s="29" t="str">
        <x:v>2026-09-13</x:v>
      </x:c>
      <x:c r="G333" s="29"/>
      <x:c r="H333" s="29"/>
      <x:c r="I333" s="28" t="str">
        <x:v>Halted</x:v>
      </x:c>
      <x:c r="J333" s="30" t="n">
        <x:v>143700</x:v>
      </x:c>
      <x:c r="K333" s="30" t="n">
        <x:v>194400</x:v>
      </x:c>
      <x:c r="L333" s="28" t="str">
        <x:v>15-1252</x:v>
      </x:c>
      <x:c r="M333" s="28" t="str">
        <x:v>Software Developers</x:v>
      </x:c>
      <x:c r="N333" s="31" t="str">
        <x:v>Seattle-Tacoma-Bellevue Software Developers levels are L1 $111,613, L2 $143,104, L3 $174,595 and L4 $206,086. The full $143,700-$194,400 range clears Level 2, and offers from $174,595 clear Level 3.</x:v>
      </x:c>
      <x:c r="O333" s="31" t="str">
        <x:v>Seattle, WA</x:v>
      </x:c>
      <x:c r="P333" s="31" t="str">
        <x:v>None listed</x:v>
      </x:c>
      <x:c r="Q333" s="31" t="str">
        <x:v>On-site</x:v>
      </x:c>
      <x:c r="R333" s="31" t="str">
        <x:v>Not restricted in the posting, but no application was started because the mandatory non-internship experience requirements are not met.</x:v>
      </x:c>
      <x:c r="S333" s="31" t="str">
        <x:v>Low due to seniority</x:v>
      </x:c>
      <x:c r="T333" s="31" t="str">
        <x:v>Distributed systems, APIs, data platforms, CI/CD and AI-assisted development align, but the role requires 3+ years of non-internship software development and 2+ years of non-internship system-design experience.</x:v>
      </x:c>
      <x:c r="U333" s="31" t="str">
        <x:v>Not used</x:v>
      </x:c>
      <x:c r="V333" s="31" t="str">
        <x:v>None</x:v>
      </x:c>
      <x:c r="W333" s="31" t="str">
        <x:v>Full LinkedIn description and official Amazon job page URL reviewed. Halted because the explicit non-internship experience requirements are not realistic for the current profile.</x:v>
      </x:c>
    </x:row>
    <x:row r="334">
      <x:c r="A334" s="28" t="str">
        <x:v>Amazon</x:v>
      </x:c>
      <x:c r="B334" s="28" t="str">
        <x:v>Software Development Engineer, AmazonAPI Infrastructure</x:v>
      </x:c>
      <x:c r="C334" s="28" t="str">
        <x:v>https://www.linkedin.com/jobs/view/4465362365/</x:v>
      </x:c>
      <x:c r="D334" s="28" t="str">
        <x:v>https://www.amazon.jobs/jobs/10534921/software-development-engineer-amazonapi-infrastructure-</x:v>
      </x:c>
      <x:c r="E334" s="29" t="str">
        <x:v>LinkedIn posted approximately 4 days before discovery</x:v>
      </x:c>
      <x:c r="F334" s="29" t="str">
        <x:v>2026-09-13</x:v>
      </x:c>
      <x:c r="G334" s="29"/>
      <x:c r="H334" s="29"/>
      <x:c r="I334" s="28" t="str">
        <x:v>Halted</x:v>
      </x:c>
      <x:c r="J334" s="30" t="n">
        <x:v>143700</x:v>
      </x:c>
      <x:c r="K334" s="30" t="n">
        <x:v>194400</x:v>
      </x:c>
      <x:c r="L334" s="28" t="str">
        <x:v>15-1252</x:v>
      </x:c>
      <x:c r="M334" s="28" t="str">
        <x:v>Software Developers</x:v>
      </x:c>
      <x:c r="N334" s="31" t="str">
        <x:v>Seattle-Tacoma-Bellevue Software Developers levels are L1 $111,613, L2 $143,104, L3 $174,595 and L4 $206,086. The full $143,700-$194,400 range clears Level 2, and offers from $174,595 clear Level 3.</x:v>
      </x:c>
      <x:c r="O334" s="31" t="str">
        <x:v>Seattle, WA</x:v>
      </x:c>
      <x:c r="P334" s="31" t="str">
        <x:v>None listed</x:v>
      </x:c>
      <x:c r="Q334" s="31" t="str">
        <x:v>On-site</x:v>
      </x:c>
      <x:c r="R334" s="31" t="str">
        <x:v>Not restricted in the posting, but no application was started because the mandatory non-internship experience requirements are not met.</x:v>
      </x:c>
      <x:c r="S334" s="31" t="str">
        <x:v>Low due to seniority</x:v>
      </x:c>
      <x:c r="T334" s="31" t="str">
        <x:v>Java, TypeScript, REST APIs, backend integrations, platform engineering and developer tooling align, but the role requires 3+ years of non-internship software development and 2+ years of non-internship architecture experience.</x:v>
      </x:c>
      <x:c r="U334" s="31" t="str">
        <x:v>Not used</x:v>
      </x:c>
      <x:c r="V334" s="31" t="str">
        <x:v>None</x:v>
      </x:c>
      <x:c r="W334" s="31" t="str">
        <x:v>Full LinkedIn description and official Amazon job page URL reviewed. Halted because the explicit non-internship experience requirements are not realistic for the current profile.</x:v>
      </x:c>
    </x:row>
    <x:row r="335">
      <x:c r="A335" s="28" t="str">
        <x:v>Optiver</x:v>
      </x:c>
      <x:c r="B335" s="28" t="str">
        <x:v>Graduate Software Engineer (2027 Start)</x:v>
      </x:c>
      <x:c r="C335" s="28" t="str">
        <x:v>https://www.linkedin.com/jobs/view/4432711572/</x:v>
      </x:c>
      <x:c r="D335" s="28" t="str">
        <x:v>https://www.optiver.com/join-us/jobs/technology/austin/graduate-software-engineer-2027-start/</x:v>
      </x:c>
      <x:c r="E335" s="29" t="str">
        <x:v>LinkedIn reposted 2026-09-12</x:v>
      </x:c>
      <x:c r="F335" s="29" t="str">
        <x:v>2026-09-13</x:v>
      </x:c>
      <x:c r="G335" s="29" t="str">
        <x:v>2026-09-14</x:v>
      </x:c>
      <x:c r="H335" s="29" t="str">
        <x:v>2026-09-14</x:v>
      </x:c>
      <x:c r="I335" s="28" t="str">
        <x:v>Submitted</x:v>
      </x:c>
      <x:c r="J335" s="30" t="n">
        <x:v>200000</x:v>
      </x:c>
      <x:c r="K335" s="30" t="n">
        <x:v>200000</x:v>
      </x:c>
      <x:c r="L335" s="28" t="str">
        <x:v>15-1252</x:v>
      </x:c>
      <x:c r="M335" s="28" t="str">
        <x:v>Software Developers</x:v>
      </x:c>
      <x:c r="N335" s="31" t="str">
        <x:v>Austin-Round Rock-San Marcos Software Developers levels are L1 $95,888, L2 $119,642, L3 $143,395 and L4 $167,149. The fixed $200,000 base salary clears Level 4 by $32,851.</x:v>
      </x:c>
      <x:c r="O335" s="31" t="str">
        <x:v>Austin, TX</x:v>
      </x:c>
      <x:c r="P335" s="31" t="str">
        <x:v>None listed for this requisition</x:v>
      </x:c>
      <x:c r="Q335" s="31" t="str">
        <x:v>On-site</x:v>
      </x:c>
      <x:c r="R335" s="31" t="str">
        <x:v>The posting explicitly states that Optiver supports U.S. immigration sponsorship for this role.</x:v>
      </x:c>
      <x:c r="S335" s="31" t="str">
        <x:v>Exceptional</x:v>
      </x:c>
      <x:c r="T335" s="31" t="str">
        <x:v>The December 2026 graduation date is inside the required December 2026-June 2027 window. Python, Java, systems design, performance evaluation, analytical problem solving and cross-functional collaboration match the graduate profile.</x:v>
      </x:c>
      <x:c r="U335" s="31" t="str">
        <x:v>Yuxuan_Chen_Resume_Zip_Software_Engineer_New_Grad_20260907.pdf planned</x:v>
      </x:c>
      <x:c r="V335" s="31" t="str">
        <x:v>None from candidate. Hold personal-data transmission until the next 30-application grouped confirmation.</x:v>
      </x:c>
      <x:c r="W335" s="31" t="str">
        <x:v>Full LinkedIn description and official Optiver application URL reviewed. Gmail search found only old LinkedIn job alerts and no direct Optiver OA or interview correspondence, so no evidence of an ineligible application within the eight-month cool-off period. High-priority sponsored graduate role.</x:v>
      </x:c>
    </x:row>
    <x:row r="336">
      <x:c r="A336" s="28" t="str">
        <x:v>TikTok</x:v>
      </x:c>
      <x:c r="B336" s="28" t="str">
        <x:v>Machine Learning Engineer Graduate (Ads Signal &amp; Measurement) - 2027 Start</x:v>
      </x:c>
      <x:c r="C336" s="28" t="str">
        <x:v>https://www.linkedin.com/jobs/view/4465464186/</x:v>
      </x:c>
      <x:c r="D336" s="28" t="str">
        <x:v>https://lifeattiktok.com/search/7669700358734170373</x:v>
      </x:c>
      <x:c r="E336" s="29" t="str">
        <x:v>2026-09-12; approximately 23 hours old when reviewed</x:v>
      </x:c>
      <x:c r="F336" s="29" t="str">
        <x:v>2026-09-13</x:v>
      </x:c>
      <x:c r="G336" s="29" t="str">
        <x:v>2026-09-14</x:v>
      </x:c>
      <x:c r="H336" s="29"/>
      <x:c r="I336" s="28" t="str">
        <x:v>Needs input</x:v>
      </x:c>
      <x:c r="J336" s="30" t="n">
        <x:v>128000</x:v>
      </x:c>
      <x:c r="K336" s="30" t="n">
        <x:v>256000</x:v>
      </x:c>
      <x:c r="L336" s="28" t="str">
        <x:v>15-2051</x:v>
      </x:c>
      <x:c r="M336" s="28" t="str">
        <x:v>Data Scientists</x:v>
      </x:c>
      <x:c r="N336" s="31" t="str">
        <x:v>San Jose-Sunnyvale-Santa Clara Data Scientists levels are L1 $125,486, L2 $168,917, L3 $212,326 and L4 $255,757. The full $128,000-$256,000 range clears Level 1; offers from $168,917 clear Level 2, from $212,326 clear Level 3 and the top of the range clears Level 4.</x:v>
      </x:c>
      <x:c r="O336" s="31" t="str">
        <x:v>San Jose, CA</x:v>
      </x:c>
      <x:c r="P336" s="31" t="str">
        <x:v>None listed</x:v>
      </x:c>
      <x:c r="Q336" s="31" t="str">
        <x:v>On-site</x:v>
      </x:c>
      <x:c r="R336" s="31" t="str">
        <x:v>The full posting does not state a restriction. Future sponsorship must be disclosed truthfully in the application; TikTok's two-position global graduate-application limit applies across affiliates.</x:v>
      </x:c>
      <x:c r="S336" s="31" t="str">
        <x:v>Strong</x:v>
      </x:c>
      <x:c r="T336" s="31" t="str">
        <x:v>Python, statistics and quantitative economics, NLP, experimentation infrastructure, large data pipelines, LLM workflows and evaluation align well. Causal inference, graph learning and direct ads-ML model training are the main stretch areas.</x:v>
      </x:c>
      <x:c r="U336" s="31" t="str">
        <x:v>Yuxuan_Chen_Resume_Giga_Software_Engineer_AI_Agents_20260907.pdf planned</x:v>
      </x:c>
      <x:c r="V336" s="31" t="str">
        <x:v>TikTok Careers is signed out. LinkedIn OAuth also requires a fresh manual LinkedIn password sign-in; no password was requested, entered or stored.</x:v>
      </x:c>
      <x:c r="W336" s="31" t="str">
        <x:v>Selected as one of the two strongest TikTok/ByteDance graduate applications. Official role remains open. Application started on 2026-09-14 and the LinkedIn OAuth login page was left open for manual sign-in. Candidate must be able to onboard by end of 2027, compatible with the February 2027 OPT start.</x:v>
      </x:c>
    </x:row>
    <x:row r="337">
      <x:c r="A337" s="28" t="str">
        <x:v>ByteDance</x:v>
      </x:c>
      <x:c r="B337" s="28" t="str">
        <x:v>Software Engineer Graduate (AML-Engine-Forge Platform) - 2027 Start</x:v>
      </x:c>
      <x:c r="C337" s="28" t="str">
        <x:v>https://www.linkedin.com/jobs/view/4457318625/</x:v>
      </x:c>
      <x:c r="D337" s="28" t="str">
        <x:v>https://joinbytedance.com/search/7673306902554102069</x:v>
      </x:c>
      <x:c r="E337" s="29" t="str">
        <x:v>LinkedIn reposted 2026-09-12</x:v>
      </x:c>
      <x:c r="F337" s="29" t="str">
        <x:v>2026-09-13</x:v>
      </x:c>
      <x:c r="G337" s="29"/>
      <x:c r="H337" s="29"/>
      <x:c r="I337" s="28" t="str">
        <x:v>Needs input</x:v>
      </x:c>
      <x:c r="J337" s="30" t="n">
        <x:v>128000</x:v>
      </x:c>
      <x:c r="K337" s="30" t="n">
        <x:v>256000</x:v>
      </x:c>
      <x:c r="L337" s="28" t="str">
        <x:v>15-1252</x:v>
      </x:c>
      <x:c r="M337" s="28" t="str">
        <x:v>Software Developers</x:v>
      </x:c>
      <x:c r="N337" s="31" t="str">
        <x:v>San Jose-Sunnyvale-Santa Clara Software Developers levels are L1 $152,797, L2 $187,075, L3 $221,374 and L4 $255,653. The $128,000 minimum is below Level 1; only offers from $152,797 clear Level 1, from $187,075 clear Level 2, from $221,374 clear Level 3 and the top of the range clears Level 4.</x:v>
      </x:c>
      <x:c r="O337" s="31" t="str">
        <x:v>San Jose, CA</x:v>
      </x:c>
      <x:c r="P337" s="31" t="str">
        <x:v>None listed</x:v>
      </x:c>
      <x:c r="Q337" s="31" t="str">
        <x:v>On-site</x:v>
      </x:c>
      <x:c r="R337" s="31" t="str">
        <x:v>The posting does not state a restriction. Future sponsorship must be disclosed truthfully; the two-position global graduate-application limit applies across TikTok and ByteDance affiliates.</x:v>
      </x:c>
      <x:c r="S337" s="31" t="str">
        <x:v>Exceptional</x:v>
      </x:c>
      <x:c r="T337" s="31" t="str">
        <x:v>ML experimentation, model evaluation, inference workflows, Python, distributed systems, platform engineering and AI developer experience closely match the resume. The role accepts recent graduates and does not require prior full-time experience.</x:v>
      </x:c>
      <x:c r="U337" s="31" t="str">
        <x:v>Yuxuan_Chen_Resume_Giga_Software_Engineer_AI_Agents_20260907.pdf planned</x:v>
      </x:c>
      <x:c r="V337" s="31" t="str">
        <x:v>Shared TikTok/ByteDance Careers session is signed out and requires manual login; no password was requested, entered or stored.</x:v>
      </x:c>
      <x:c r="W337" s="31" t="str">
        <x:v>Selected as the second of the two permitted TikTok/ByteDance graduate applications, alongside TikTok Ads Signal &amp; Measurement. High-priority large-employer graduate role; target an offer of at least $152,797 for San Jose wage compatibility.</x:v>
      </x:c>
    </x:row>
    <x:row r="338">
      <x:c r="A338" s="28" t="str">
        <x:v>ByteDance</x:v>
      </x:c>
      <x:c r="B338" s="28" t="str">
        <x:v>Software Engineer Graduate (AI Infra Compute) - 2027 Start</x:v>
      </x:c>
      <x:c r="C338" s="28" t="str">
        <x:v>https://www.linkedin.com/jobs/view/4448130871/</x:v>
      </x:c>
      <x:c r="D338" s="28" t="str">
        <x:v>https://joinbytedance.com/search/7667303429264115973</x:v>
      </x:c>
      <x:c r="E338" s="29" t="str">
        <x:v>LinkedIn reposted approximately 5 days before discovery</x:v>
      </x:c>
      <x:c r="F338" s="29" t="str">
        <x:v>2026-09-13</x:v>
      </x:c>
      <x:c r="G338" s="29"/>
      <x:c r="H338" s="29"/>
      <x:c r="I338" s="28" t="str">
        <x:v>Halted</x:v>
      </x:c>
      <x:c r="J338" s="30" t="n">
        <x:v>121600</x:v>
      </x:c>
      <x:c r="K338" s="30" t="n">
        <x:v>243200</x:v>
      </x:c>
      <x:c r="L338" s="28" t="str">
        <x:v>15-1252</x:v>
      </x:c>
      <x:c r="M338" s="28" t="str">
        <x:v>Software Developers</x:v>
      </x:c>
      <x:c r="N338" s="31" t="str">
        <x:v>Seattle-Tacoma-Bellevue Software Developers levels are L1 $111,613, L2 $143,104, L3 $174,595 and L4 $206,086. The full $121,600-$243,200 range clears Level 1; offers from $143,104 clear Level 2, from $174,595 clear Level 3 and from $206,086 clear Level 4.</x:v>
      </x:c>
      <x:c r="O338" s="31" t="str">
        <x:v>Seattle, WA</x:v>
      </x:c>
      <x:c r="P338" s="31" t="str">
        <x:v>None listed</x:v>
      </x:c>
      <x:c r="Q338" s="31" t="str">
        <x:v>On-site</x:v>
      </x:c>
      <x:c r="R338" s="31" t="str">
        <x:v>The posting does not state a restriction. Future sponsorship must be disclosed truthfully; the two-position global graduate-application limit applies across TikTok and ByteDance affiliates.</x:v>
      </x:c>
      <x:c r="S338" s="31" t="str">
        <x:v>Strong stretch</x:v>
      </x:c>
      <x:c r="T338" s="31" t="str">
        <x:v>The master's degree, vLLM, inference performance work, concurrent workloads, cloud GPU evaluation and computer-use agent infrastructure align directly. Gaps are low-level GPU kernel optimization, post-training systems and academic publications.</x:v>
      </x:c>
      <x:c r="U338" s="31" t="str">
        <x:v>Yuxuan_Chen_Resume_Giga_Software_Engineer_AI_Agents_20260907.pdf planned</x:v>
      </x:c>
      <x:c r="V338" s="31" t="str">
        <x:v>None</x:v>
      </x:c>
      <x:c r="W338" s="31" t="str">
        <x:v>Not selected under the global two-position TikTok/ByteDance graduate application limit. TikTok Ads Signal &amp; Measurement and ByteDance AML-Engine-Forge are more realistic matches; no application was started.</x:v>
      </x:c>
    </x:row>
    <x:row r="339">
      <x:c r="A339" s="28" t="str">
        <x:v>Commure</x:v>
      </x:c>
      <x:c r="B339" s="28" t="str">
        <x:v>Software Engineer, Early Career 2027</x:v>
      </x:c>
      <x:c r="C339" s="28" t="str">
        <x:v>https://www.linkedin.com/jobs/view/4466410104/</x:v>
      </x:c>
      <x:c r="D339" s="28" t="str">
        <x:v>https://jobs.ashbyhq.com/Commure/c6a735ef-3d84-4447-94a9-9e8b2dfefced/application?utm_source=PnDq6E4Omw&amp;source=X34Yya61zq</x:v>
      </x:c>
      <x:c r="E339" s="29" t="str">
        <x:v>2026-09-11</x:v>
      </x:c>
      <x:c r="F339" s="29" t="str">
        <x:v>2026-09-13</x:v>
      </x:c>
      <x:c r="G339" s="29"/>
      <x:c r="H339" s="29"/>
      <x:c r="I339" s="28" t="str">
        <x:v>Halted</x:v>
      </x:c>
      <x:c r="J339" s="30" t="n">
        <x:v>130000</x:v>
      </x:c>
      <x:c r="K339" s="30" t="n">
        <x:v>150000</x:v>
      </x:c>
      <x:c r="L339" s="28" t="str">
        <x:v>15-1252</x:v>
      </x:c>
      <x:c r="M339" s="28" t="str">
        <x:v>Software Developers</x:v>
      </x:c>
      <x:c r="N339" s="31" t="str">
        <x:v>Los Angeles-Long Beach-Anaheim Software Developers levels are L1 $106,787, L2 $134,202, L3 $161,637 and L4 $189,051. The full $130,000-$150,000 range clears Level 1; offers from $134,202 clear Level 2. The parallel Mountain View posting was not selected because its $130,000-$150,000 range does not clear the San Jose-area Level 1 threshold of $152,797.</x:v>
      </x:c>
      <x:c r="O339" s="31" t="str">
        <x:v>Los Angeles, CA</x:v>
      </x:c>
      <x:c r="P339" s="31" t="str">
        <x:v>Mountain View, CA version reviewed but excluded for wage incompatibility</x:v>
      </x:c>
      <x:c r="Q339" s="31" t="str">
        <x:v>On-site</x:v>
      </x:c>
      <x:c r="R339" s="31" t="str">
        <x:v>Not stated; future sponsorship must be disclosed truthfully.</x:v>
      </x:c>
      <x:c r="S339" s="31" t="str">
        <x:v>Exceptional</x:v>
      </x:c>
      <x:c r="T339" s="31" t="str">
        <x:v>Direct match to Python, TypeScript, React, PostgreSQL, APIs, data pipelines, LLM inference and orchestration, AI evaluation infrastructure, observability, automated testing and production ownership. The role explicitly targets recent or upcoming graduates and accepts internship, research and substantial project experience.</x:v>
      </x:c>
      <x:c r="U339" s="31" t="str">
        <x:v>Yuxuan_Chen_Resume_Giga_Software_Engineer_AI_Agents_20260907.pdf planned</x:v>
      </x:c>
      <x:c r="V339" s="31" t="str">
        <x:v>None</x:v>
      </x:c>
      <x:c r="W339" s="31" t="str">
        <x:v>Halted on 2026-09-14 because the application form requires an official or unofficial transcript. Candidate explicitly instructed to skip any role where a transcript is mandatory. No application data was submitted.</x:v>
      </x:c>
    </x:row>
    <x:row r="340">
      <x:c r="A340" s="28" t="str">
        <x:v>Retell AI</x:v>
      </x:c>
      <x:c r="B340" s="28" t="str">
        <x:v>Forward Deployed Engineer, New Grad</x:v>
      </x:c>
      <x:c r="C340" s="28" t="str">
        <x:v>https://www.linkedin.com/jobs/view/4464267669/</x:v>
      </x:c>
      <x:c r="D340" s="28" t="str">
        <x:v>https://jobs.ashbyhq.com/retell-ai/161bcfc9-56dd-4d0c-869d-e5de1431a940</x:v>
      </x:c>
      <x:c r="E340" s="29" t="str">
        <x:v>2026-09-12</x:v>
      </x:c>
      <x:c r="F340" s="29" t="str">
        <x:v>2026-09-13</x:v>
      </x:c>
      <x:c r="G340" s="29" t="str">
        <x:v>2026-09-14</x:v>
      </x:c>
      <x:c r="H340" s="29" t="str">
        <x:v>2026-09-14</x:v>
      </x:c>
      <x:c r="I340" s="28" t="str">
        <x:v>Submitted</x:v>
      </x:c>
      <x:c r="J340" s="30" t="n">
        <x:v>150000</x:v>
      </x:c>
      <x:c r="K340" s="30" t="n">
        <x:v>250000</x:v>
      </x:c>
      <x:c r="L340" s="28" t="str">
        <x:v>15-1252</x:v>
      </x:c>
      <x:c r="M340" s="28" t="str">
        <x:v>Software Developers</x:v>
      </x:c>
      <x:c r="N340" s="31" t="str">
        <x:v>San Francisco-Oakland-Fremont Software Developers levels are L1 $137,093, L2 $165,131, L3 $193,149 and L4 $221,187. The entire $150,000-$250,000 cash range clears Level 1; compensation from $165,131 clears Level 2, from $193,149 clears Level 3 and from $221,187 clears Level 4.</x:v>
      </x:c>
      <x:c r="O340" s="31" t="str">
        <x:v>Redwood City, CA</x:v>
      </x:c>
      <x:c r="P340" s="31" t="str">
        <x:v>San Francisco Bay Area</x:v>
      </x:c>
      <x:c r="Q340" s="31" t="str">
        <x:v>On-site; relocation provided</x:v>
      </x:c>
      <x:c r="R340" s="31" t="str">
        <x:v>Explicitly open to sponsoring F-1 OPT/CPT and H-1B work authorization for qualified candidates.</x:v>
      </x:c>
      <x:c r="S340" s="31" t="str">
        <x:v>Exceptional</x:v>
      </x:c>
      <x:c r="T340" s="31" t="str">
        <x:v>Exact new-grad profile with technical internships, Python and JavaScript production development, AI-agent systems, API integrations, prototypes, debugging and customer-facing technical communication. GEO platform and agent workflow experience map directly to building and launching voice-AI solutions.</x:v>
      </x:c>
      <x:c r="U340" s="31" t="str">
        <x:v>Yuxuan_Chen_Resume_Giga_Software_Engineer_AI_Agents_20260907.pdf</x:v>
      </x:c>
      <x:c r="V340" s="31" t="str">
        <x:v>None</x:v>
      </x:c>
      <x:c r="W340" s="31" t="str">
        <x:v>Submitted successfully through Ashby on 2026-09-14 with Malden, MA current location. Confirmed current U.S. work authorization and willingness to relocate for five-day San Francisco office work. Role explicitly assists with visa sponsorship.</x:v>
      </x:c>
    </x:row>
    <x:row r="341">
      <x:c r="A341" s="28" t="str">
        <x:v>Cursor (Anysphere)</x:v>
      </x:c>
      <x:c r="B341" s="28" t="str">
        <x:v>Software Engineer, New Grad 2027</x:v>
      </x:c>
      <x:c r="C341" s="28" t="str">
        <x:v>https://www.linkedin.com/jobs/view/4465602244/</x:v>
      </x:c>
      <x:c r="D341" s="28" t="str">
        <x:v>https://cursor.com/careers/software-engineer-new-grad-2027?src=Linkedin_job_posting</x:v>
      </x:c>
      <x:c r="E341" s="29" t="str">
        <x:v>2026-09-10</x:v>
      </x:c>
      <x:c r="F341" s="29" t="str">
        <x:v>2026-09-13</x:v>
      </x:c>
      <x:c r="G341" s="29" t="str">
        <x:v>2026-09-14</x:v>
      </x:c>
      <x:c r="H341" s="29" t="str">
        <x:v>2026-09-14</x:v>
      </x:c>
      <x:c r="I341" s="28" t="str">
        <x:v>Submitted</x:v>
      </x:c>
      <x:c r="J341" s="30"/>
      <x:c r="K341" s="30"/>
      <x:c r="L341" s="28" t="str">
        <x:v>15-1252</x:v>
      </x:c>
      <x:c r="M341" s="28" t="str">
        <x:v>Software Developers</x:v>
      </x:c>
      <x:c r="N341" s="31" t="str">
        <x:v>The official posting covers San Francisco and New York but does not disclose compensation. San Francisco Software Developers Level 1 is $137,093; New York-Newark-Jersey City Level 1 must be confirmed from the supplied wage table before choosing between locations once compensation is known.</x:v>
      </x:c>
      <x:c r="O341" s="31" t="str">
        <x:v>San Francisco, CA provisionally</x:v>
      </x:c>
      <x:c r="P341" s="31" t="str">
        <x:v>New York, NY</x:v>
      </x:c>
      <x:c r="Q341" s="31" t="str">
        <x:v>On-site</x:v>
      </x:c>
      <x:c r="R341" s="31" t="str">
        <x:v>No explicit sponsorship promise or exclusion. The official form accepts 'Other / Eligible for required authorization' and provides a required explanation field, allowing truthful F-1/OPT disclosure.</x:v>
      </x:c>
      <x:c r="S341" s="31" t="str">
        <x:v>Strong stretch</x:v>
      </x:c>
      <x:c r="T341" s="31" t="str">
        <x:v>New-grad role centered on shipped products, AI-assisted engineering, end-to-end UI/backend ownership, prototypes and high-quality product execution. The GEO platform and public GitHub provide the required reviewable technical project. Timing is slightly imperfect because the posting says Spring 2027 while graduation is December 2026, but the form explicitly includes 'Before spring 2027'.</x:v>
      </x:c>
      <x:c r="U341" s="31" t="str">
        <x:v>Yuxuan_Chen_Resume_Giga_Software_Engineer_AI_Agents_20260907.pdf</x:v>
      </x:c>
      <x:c r="V341" s="31" t="str">
        <x:v>None</x:v>
      </x:c>
      <x:c r="W341" s="31" t="str">
        <x:v>Submitted successfully on 2026-09-14 through Cursor's official form. Included graduate GPA 3.4, required SAT 1320, F-1/OPT and future H-1B sponsorship explanation, GitHub, education history and a factual GEO-platform project response. Selected before-spring-2027 graduation, LinkedIn source, female, Asian and non-protected veteran.</x:v>
      </x:c>
    </x:row>
    <x:row r="342">
      <x:c r="A342" s="28" t="str">
        <x:v>Applied Materials</x:v>
      </x:c>
      <x:c r="B342" s="28" t="str">
        <x:v>2027 Engineer Development Rotation Program - Systems Engineer I New College Grad</x:v>
      </x:c>
      <x:c r="C342" s="28" t="str">
        <x:v>https://www.linkedin.com/jobs/view/4451261178/</x:v>
      </x:c>
      <x:c r="D342" s="28" t="str">
        <x:v>https://dsp.prng.co/VWshQEb?source=LinkedIn</x:v>
      </x:c>
      <x:c r="E342" s="29" t="str">
        <x:v>LinkedIn reposted approximately 2026-09-09</x:v>
      </x:c>
      <x:c r="F342" s="29" t="str">
        <x:v>2026-09-13</x:v>
      </x:c>
      <x:c r="G342" s="29" t="str">
        <x:v>2026-09-14</x:v>
      </x:c>
      <x:c r="H342" s="29" t="str">
        <x:v>2026-09-14</x:v>
      </x:c>
      <x:c r="I342" s="28" t="str">
        <x:v>Submitted</x:v>
      </x:c>
      <x:c r="J342" s="30" t="n">
        <x:v>78500</x:v>
      </x:c>
      <x:c r="K342" s="30" t="n">
        <x:v>108000</x:v>
      </x:c>
      <x:c r="L342" s="28" t="str">
        <x:v>15-1299</x:v>
      </x:c>
      <x:c r="M342" s="28" t="str">
        <x:v>Computer Occupations, All Other</x:v>
      </x:c>
      <x:c r="N342" s="31" t="str">
        <x:v>Boston-Cambridge-Newton Computer Occupations, All Other levels are L1 $71,843, L2 $99,050, L3 $126,277 and L4 $153,483. The full $78,500-$108,000 range clears Level 1; offers from $99,050 clear Level 2.</x:v>
      </x:c>
      <x:c r="O342" s="31" t="str">
        <x:v>Gloucester, MA</x:v>
      </x:c>
      <x:c r="P342" s="31" t="str">
        <x:v>None listed</x:v>
      </x:c>
      <x:c r="Q342" s="31" t="str">
        <x:v>On-site; approximately 10% travel; relocation eligible</x:v>
      </x:c>
      <x:c r="R342" s="31" t="str">
        <x:v>Not stated in the full posting; Applied Materials is a large established employer, but future H-1B sponsorship must be confirmed during the process.</x:v>
      </x:c>
      <x:c r="S342" s="31" t="str">
        <x:v>Moderate to strong</x:v>
      </x:c>
      <x:c r="T342" s="31" t="str">
        <x:v>The Software Engineering Systems master's, software/algorithm design, system specifications, testing, troubleshooting, integration, experimentation and cross-functional work fit the systems-rotation responsibilities. The role also includes electrical, mechanical and physics content, making it broader than the candidate's core software profile.</x:v>
      </x:c>
      <x:c r="U342" s="31" t="str">
        <x:v>Yuxuan_Chen_Resume_Zip_Software_Engineer_New_Grad_20260907.pdf</x:v>
      </x:c>
      <x:c r="V342" s="31" t="str">
        <x:v>None</x:v>
      </x:c>
      <x:c r="W342" s="31" t="str">
        <x:v>Submitted successfully through Applied Materials Eightfold on 2026-09-14. Success page displayed 'Thank you for your application, Yuxuan!' Disclosed current work authorization, future immigration support/sponsorship need, Chinese citizenship for export-control review, final-year master's status, Northeast preference and relocation willingness.</x:v>
      </x:c>
    </x:row>
    <x:row r="343">
      <x:c r="A343" s="28" t="str">
        <x:v>TalentHop (undisclosed autonomous-vehicle employer)</x:v>
      </x:c>
      <x:c r="B343" s="28" t="str">
        <x:v>Software Engineer I - Data Engineering</x:v>
      </x:c>
      <x:c r="C343" s="28" t="str">
        <x:v>https://www.linkedin.com/jobs/view/4464735493/</x:v>
      </x:c>
      <x:c r="D343" s="28" t="str">
        <x:v>https://www.talenthop.com/apply-with-ai/e861c95b-c112-41d6-854b-a85a5c48c6da?utm_medium=job_posting&amp;utm_source=linkedin&amp;utm_campaign=software_engineer&amp;utm_category=software_engineer&amp;utm_term=software_engineer_i_data_engineering</x:v>
      </x:c>
      <x:c r="E343" s="29" t="str">
        <x:v>2026-09-13</x:v>
      </x:c>
      <x:c r="F343" s="29" t="str">
        <x:v>2026-09-13</x:v>
      </x:c>
      <x:c r="G343" s="29"/>
      <x:c r="H343" s="29"/>
      <x:c r="I343" s="28" t="str">
        <x:v>Halted</x:v>
      </x:c>
      <x:c r="J343" s="30" t="n">
        <x:v>114400</x:v>
      </x:c>
      <x:c r="K343" s="30" t="n">
        <x:v>137300</x:v>
      </x:c>
      <x:c r="L343" s="28" t="str">
        <x:v>15-1252</x:v>
      </x:c>
      <x:c r="M343" s="28" t="str">
        <x:v>Software Developers</x:v>
      </x:c>
      <x:c r="N343" s="31" t="str">
        <x:v>Using preferred Massachusetts as the remote work location, Boston-Cambridge-Newton Software Developers Level 1 is $114,275. The full $114,400-$137,300 range clears Level 1 by a narrow margin; final worksite and employer identity must be confirmed before relying on this wage comparison.</x:v>
      </x:c>
      <x:c r="O343" s="31" t="str">
        <x:v>Malden/Boston, MA remote provisionally</x:v>
      </x:c>
      <x:c r="P343" s="31" t="str">
        <x:v>Fully remote within the United States</x:v>
      </x:c>
      <x:c r="Q343" s="31" t="str">
        <x:v>Remote</x:v>
      </x:c>
      <x:c r="R343" s="31" t="str">
        <x:v>Not disclosed because TalentHop withholds the end employer's identity. Future H-1B support must be verified if the employer is revealed.</x:v>
      </x:c>
      <x:c r="S343" s="31" t="str">
        <x:v>Strong technical fit; employer-identity caution</x:v>
      </x:c>
      <x:c r="T343" s="31" t="str">
        <x:v>Python, Docker, Linux, cloud data pipelines, CI/CD, infrastructure, monitoring and ML-training data systems strongly match the candidate's software, cloud and AI-platform experience.</x:v>
      </x:c>
      <x:c r="U343" s="31" t="str">
        <x:v>Yuxuan_Chen_Resume_Giga_Software_Engineer_AI_Agents_20260907.pdf planned</x:v>
      </x:c>
      <x:c r="V343" s="31" t="str">
        <x:v>None</x:v>
      </x:c>
      <x:c r="W343" s="31" t="str">
        <x:v>Halted after full review because TalentHop withholds the actual employer, worksite and sponsorship policy. The narrow Level 1 margin cannot be relied on without those facts; skipped in favor of direct employers.</x:v>
      </x:c>
    </x:row>
    <x:row r="344">
      <x:c r="A344" s="28" t="str">
        <x:v>Amerisure Insurance</x:v>
      </x:c>
      <x:c r="B344" s="28" t="str">
        <x:v>Software Engineer I</x:v>
      </x:c>
      <x:c r="C344" s="28" t="str">
        <x:v>https://www.linkedin.com/jobs/view/4447229272/</x:v>
      </x:c>
      <x:c r="D344" s="28" t="str">
        <x:v>https://osv_amerisure.wd5.myworkdayjobs.com/Amerisure/job/Farmington-Hills-MI/Software-Engineer-I_JR-002063</x:v>
      </x:c>
      <x:c r="E344" s="29" t="str">
        <x:v>LinkedIn reposted 2026-09-12</x:v>
      </x:c>
      <x:c r="F344" s="29" t="str">
        <x:v>2026-09-13</x:v>
      </x:c>
      <x:c r="G344" s="29" t="str">
        <x:v>2026-09-14</x:v>
      </x:c>
      <x:c r="H344" s="29"/>
      <x:c r="I344" s="28" t="str">
        <x:v>Needs input</x:v>
      </x:c>
      <x:c r="J344" s="30"/>
      <x:c r="K344" s="30"/>
      <x:c r="L344" s="28" t="str">
        <x:v>15-1252</x:v>
      </x:c>
      <x:c r="M344" s="28" t="str">
        <x:v>Software Developers</x:v>
      </x:c>
      <x:c r="N344" s="31" t="str">
        <x:v>Detroit-Warren-Dearborn Software Developers levels are L1 $89,877, L2 $108,950, L3 $128,003 and L4 $147,077. Compensation is not disclosed, so Level 1 compatibility cannot yet be proven and must be confirmed during the process.</x:v>
      </x:c>
      <x:c r="O344" s="31" t="str">
        <x:v>Farmington Hills, MI</x:v>
      </x:c>
      <x:c r="P344" s="31" t="str">
        <x:v>None listed</x:v>
      </x:c>
      <x:c r="Q344" s="31" t="str">
        <x:v>Hybrid, three days in office</x:v>
      </x:c>
      <x:c r="R344" s="31" t="str">
        <x:v>No sponsorship exclusion or commitment appears in the full LinkedIn posting. Future H-1B support remains unverified.</x:v>
      </x:c>
      <x:c r="S344" s="31" t="str">
        <x:v>Strong entry-level fit</x:v>
      </x:c>
      <x:c r="T344" s="31" t="str">
        <x:v>The role asks for entry-level coding, debugging, automated tests, Python/pytest familiarity, cloud platforms, containers, CI/CD, system data, integrations and applied AI/ML; these map closely to the candidate's internships and research-platform work.</x:v>
      </x:c>
      <x:c r="U344" s="31" t="str">
        <x:v>Yuxuan_Chen_Resume_Salesforce_Software_Engineering_AMTS_20260907.pdf planned</x:v>
      </x:c>
      <x:c r="V344" s="31" t="str">
        <x:v>Amerisure Workday requires creation of a new candidate account and password before the application form can be accessed. Separate action-time confirmation is required before creating/saving the password.</x:v>
      </x:c>
      <x:c r="W344" s="31" t="str">
        <x:v>Full description reviewed and application started on 2026-09-14. Stopped only at Workday Create Account before entering or saving any password. Established insurer and realistic Software Engineer I scope; retained despite undisclosed compensation because the local Level 1 threshold is comparatively moderate.</x:v>
      </x:c>
    </x:row>
    <x:row r="345">
      <x:c r="A345" s="28" t="str">
        <x:v>IBM</x:v>
      </x:c>
      <x:c r="B345" s="28" t="str">
        <x:v>ELH Software Engineer / Agent Engineer - EDA - Poughkeepsie 2027</x:v>
      </x:c>
      <x:c r="C345" s="28" t="str">
        <x:v>https://www.linkedin.com/jobs/view/4464210001/</x:v>
      </x:c>
      <x:c r="D345" s="28" t="str">
        <x:v>https://ibmglobal.avature.net/en_US/careers/JobDetail?jobId=132570&amp;src=SN_LinkedIn</x:v>
      </x:c>
      <x:c r="E345" s="29" t="str">
        <x:v>2026-09-12</x:v>
      </x:c>
      <x:c r="F345" s="29" t="str">
        <x:v>2026-09-13</x:v>
      </x:c>
      <x:c r="G345" s="29"/>
      <x:c r="H345" s="29"/>
      <x:c r="I345" s="28" t="str">
        <x:v>Halted</x:v>
      </x:c>
      <x:c r="J345" s="30" t="n">
        <x:v>61200</x:v>
      </x:c>
      <x:c r="K345" s="30" t="n">
        <x:v>176400</x:v>
      </x:c>
      <x:c r="L345" s="28" t="str">
        <x:v>15-1252</x:v>
      </x:c>
      <x:c r="M345" s="28" t="str">
        <x:v>Software Developers</x:v>
      </x:c>
      <x:c r="N345" s="31" t="str">
        <x:v>Kiryas Joel-Poughkeepsie-Newburgh Software Developers levels are L1 $97,178, L2 $122,907, L3 $148,658 and L4 $174,387. Offers from $97,178 clear Level 1; the upper 69% of the posted range qualifies, and the maximum exceeds Level 4.</x:v>
      </x:c>
      <x:c r="O345" s="31" t="str">
        <x:v>Poughkeepsie, NY</x:v>
      </x:c>
      <x:c r="P345" s="31" t="str">
        <x:v>Separate Austin requisition</x:v>
      </x:c>
      <x:c r="Q345" s="31" t="str">
        <x:v>Hybrid</x:v>
      </x:c>
      <x:c r="R345" s="31" t="str">
        <x:v>Official IBM page explicitly states that visa sponsorship will not be provided now or in the future.</x:v>
      </x:c>
      <x:c r="S345" s="31" t="str">
        <x:v>Ineligible</x:v>
      </x:c>
      <x:c r="T345" s="31" t="str">
        <x:v>Technical fit is strong, but the explicit no-current-or-future-sponsorship rule conflicts with the candidate's required future H-1B sponsorship.</x:v>
      </x:c>
      <x:c r="U345" s="31" t="str">
        <x:v>Yuxuan_Chen_Resume_Giga_Software_Engineer_AI_Agents_20260907.pdf planned</x:v>
      </x:c>
      <x:c r="V345" s="31" t="str">
        <x:v>None from candidate. Hold personal-data transmission until grouped confirmation.</x:v>
      </x:c>
      <x:c r="W345" s="31" t="str">
        <x:v>Halted after official IBM Avature recheck on 2026-09-14. Job ID 132570 explicitly excludes current and future visa sponsorship.</x:v>
      </x:c>
    </x:row>
    <x:row r="346">
      <x:c r="A346" s="28" t="str">
        <x:v>IBM</x:v>
      </x:c>
      <x:c r="B346" s="28" t="str">
        <x:v>ELH Software Engineer / Agent Engineer - EDA - Austin 2027</x:v>
      </x:c>
      <x:c r="C346" s="28" t="str">
        <x:v>https://www.linkedin.com/jobs/view/4463987792/</x:v>
      </x:c>
      <x:c r="D346" s="28" t="str">
        <x:v>https://ibmglobal.avature.net/en_US/careers/JobDetail?jobId=132571&amp;src=SN_LinkedIn</x:v>
      </x:c>
      <x:c r="E346" s="29" t="str">
        <x:v>2026-09-12</x:v>
      </x:c>
      <x:c r="F346" s="29" t="str">
        <x:v>2026-09-13</x:v>
      </x:c>
      <x:c r="G346" s="29"/>
      <x:c r="H346" s="29"/>
      <x:c r="I346" s="28" t="str">
        <x:v>Halted</x:v>
      </x:c>
      <x:c r="J346" s="30" t="n">
        <x:v>61200</x:v>
      </x:c>
      <x:c r="K346" s="30" t="n">
        <x:v>176400</x:v>
      </x:c>
      <x:c r="L346" s="28" t="str">
        <x:v>15-1252</x:v>
      </x:c>
      <x:c r="M346" s="28" t="str">
        <x:v>Software Developers</x:v>
      </x:c>
      <x:c r="N346" s="31" t="str">
        <x:v>Austin-Round Rock-San Marcos Software Developers levels are L1 $95,888, L2 $119,642, L3 $143,395 and L4 $167,149. Offers from $95,888 clear Level 1; most of the posted range qualifies and the maximum exceeds Level 4.</x:v>
      </x:c>
      <x:c r="O346" s="31" t="str">
        <x:v>Austin, TX</x:v>
      </x:c>
      <x:c r="P346" s="31" t="str">
        <x:v>Separate Poughkeepsie requisition</x:v>
      </x:c>
      <x:c r="Q346" s="31" t="str">
        <x:v>Hybrid</x:v>
      </x:c>
      <x:c r="R346" s="31" t="str">
        <x:v>Official IBM page explicitly states that visa sponsorship will not be provided now or in the future.</x:v>
      </x:c>
      <x:c r="S346" s="31" t="str">
        <x:v>Ineligible</x:v>
      </x:c>
      <x:c r="T346" s="31" t="str">
        <x:v>Technical fit is strong, but the explicit no-current-or-future-sponsorship rule conflicts with the candidate's required future H-1B sponsorship.</x:v>
      </x:c>
      <x:c r="U346" s="31" t="str">
        <x:v>Yuxuan_Chen_Resume_Giga_Software_Engineer_AI_Agents_20260907.pdf planned</x:v>
      </x:c>
      <x:c r="V346" s="31" t="str">
        <x:v>None from candidate. Hold personal-data transmission until grouped confirmation.</x:v>
      </x:c>
      <x:c r="W346" s="31" t="str">
        <x:v>Halted after official IBM Avature recheck on 2026-09-14. Job ID 132571 explicitly excludes current and future visa sponsorship.</x:v>
      </x:c>
    </x:row>
    <x:row r="347">
      <x:c r="A347" s="28" t="str">
        <x:v>IBM</x:v>
      </x:c>
      <x:c r="B347" s="28" t="str">
        <x:v>Associate Software Engineer</x:v>
      </x:c>
      <x:c r="C347" s="28" t="str">
        <x:v>https://www.linkedin.com/jobs/view/4463430704/</x:v>
      </x:c>
      <x:c r="D347" s="28" t="str">
        <x:v>https://ibmglobal.avature.net/en_US/careers/JobDetail?jobId=132165&amp;src=SN_LinkedIn</x:v>
      </x:c>
      <x:c r="E347" s="29" t="str">
        <x:v>2026-09-10</x:v>
      </x:c>
      <x:c r="F347" s="29" t="str">
        <x:v>2026-09-13</x:v>
      </x:c>
      <x:c r="G347" s="29"/>
      <x:c r="H347" s="29"/>
      <x:c r="I347" s="28" t="str">
        <x:v>Halted</x:v>
      </x:c>
      <x:c r="J347" s="30" t="n">
        <x:v>71000</x:v>
      </x:c>
      <x:c r="K347" s="30" t="n">
        <x:v>123000</x:v>
      </x:c>
      <x:c r="L347" s="28" t="str">
        <x:v>15-1252</x:v>
      </x:c>
      <x:c r="M347" s="28" t="str">
        <x:v>Software Developers</x:v>
      </x:c>
      <x:c r="N347" s="31" t="str">
        <x:v>Lowell falls in Boston-Cambridge-Newton, where Software Developers levels are L1 $114,275, L2 $138,237, L3 $162,198 and L4 $186,160. Only offers from $114,275 through the $123,000 maximum clear Level 1, so compensation must land in the top 17% of the range.</x:v>
      </x:c>
      <x:c r="O347" s="31" t="str">
        <x:v>Lowell, MA</x:v>
      </x:c>
      <x:c r="P347" s="31" t="str">
        <x:v>None listed</x:v>
      </x:c>
      <x:c r="Q347" s="31" t="str">
        <x:v>On-site</x:v>
      </x:c>
      <x:c r="R347" s="31" t="str">
        <x:v>Official IBM page explicitly excludes current and future visa sponsorship.</x:v>
      </x:c>
      <x:c r="S347" s="31" t="str">
        <x:v>Ineligible</x:v>
      </x:c>
      <x:c r="T347" s="31" t="str">
        <x:v>Backend development, Agile, component design, debugging, automated CI/CD, frontend exposure and AI-tool usage closely match the candidate's experience and preferred Massachusetts location.</x:v>
      </x:c>
      <x:c r="U347" s="31" t="str">
        <x:v>Yuxuan_Chen_Resume_Salesforce_Software_Engineering_AMTS_20260907.pdf planned</x:v>
      </x:c>
      <x:c r="V347" s="31" t="str">
        <x:v>None from candidate. Hold personal-data transmission until grouped confirmation.</x:v>
      </x:c>
      <x:c r="W347" s="31" t="str">
        <x:v>Duplicate of the pre-existing halted review for IBM job ID 132165. Official posting explicitly excludes current and future visa sponsorship.</x:v>
      </x:c>
    </x:row>
    <x:row r="348">
      <x:c r="A348" s="28" t="str">
        <x:v>IBM</x:v>
      </x:c>
      <x:c r="B348" s="28" t="str">
        <x:v>Entry Level Software Engineering - Agentic AI &amp; Workflow Automation 2027</x:v>
      </x:c>
      <x:c r="C348" s="28" t="str">
        <x:v>https://www.linkedin.com/jobs/view/4457223013/</x:v>
      </x:c>
      <x:c r="D348" s="28" t="str">
        <x:v>https://ibmglobal.avature.net/en_US/careers/JobDetail?jobId=129901&amp;src=SN_LinkedIn</x:v>
      </x:c>
      <x:c r="E348" s="29" t="str">
        <x:v>Approximately 2026-08-30; within expanded major-employer window</x:v>
      </x:c>
      <x:c r="F348" s="29" t="str">
        <x:v>2026-09-13</x:v>
      </x:c>
      <x:c r="G348" s="29"/>
      <x:c r="H348" s="29"/>
      <x:c r="I348" s="28" t="str">
        <x:v>Halted</x:v>
      </x:c>
      <x:c r="J348" s="30" t="n">
        <x:v>121000</x:v>
      </x:c>
      <x:c r="K348" s="30" t="n">
        <x:v>181400</x:v>
      </x:c>
      <x:c r="L348" s="28" t="str">
        <x:v>15-1252</x:v>
      </x:c>
      <x:c r="M348" s="28" t="str">
        <x:v>Software Developers</x:v>
      </x:c>
      <x:c r="N348" s="31" t="str">
        <x:v>Using the New York-Newark-Jersey City wage area, Software Developers levels are L1 $109,845, L2 $137,717, L3 $165,589 and L4 $193,461. The entire $121,000-$181,400 range clears Level 1; offers from $137,717 clear Level 2.</x:v>
      </x:c>
      <x:c r="O348" s="31" t="str">
        <x:v>New York, NY</x:v>
      </x:c>
      <x:c r="P348" s="31" t="str">
        <x:v>New York location stated broadly</x:v>
      </x:c>
      <x:c r="Q348" s="31" t="str">
        <x:v>Hybrid</x:v>
      </x:c>
      <x:c r="R348" s="31" t="str">
        <x:v>Official IBM page explicitly excludes current and future visa sponsorship.</x:v>
      </x:c>
      <x:c r="S348" s="31" t="str">
        <x:v>Ineligible</x:v>
      </x:c>
      <x:c r="T348" s="31" t="str">
        <x:v>Python services, Pydantic/asyncio, reasoning agents, workflow planners, retrieval pipelines, evaluation harnesses, REST APIs, orchestration, vector databases, Docker, Kubernetes, data pipelines and CI/CD directly mirror the candidate's GEO and LLM-system work.</x:v>
      </x:c>
      <x:c r="U348" s="31" t="str">
        <x:v>Yuxuan_Chen_Resume_Giga_Software_Engineer_AI_Agents_20260907.pdf planned</x:v>
      </x:c>
      <x:c r="V348" s="31" t="str">
        <x:v>None from candidate. Hold personal-data transmission until grouped confirmation.</x:v>
      </x:c>
      <x:c r="W348" s="31" t="str">
        <x:v>Duplicate of the pre-existing halted review for IBM job ID 129901. Official posting explicitly excludes current and future visa sponsorship.</x:v>
      </x:c>
    </x:row>
    <x:row r="349">
      <x:c r="A349" s="28" t="str">
        <x:v>Cantina Labs</x:v>
      </x:c>
      <x:c r="B349" s="28" t="str">
        <x:v>Machine Learning Engineer, Ops</x:v>
      </x:c>
      <x:c r="C349" s="28" t="str">
        <x:v>https://www.linkedin.com/jobs/view/4465483865/</x:v>
      </x:c>
      <x:c r="D349" s="28" t="str">
        <x:v>https://jobs.ashbyhq.com/cantina/e39ea193-e746-4062-b604-51ef3cb0b913</x:v>
      </x:c>
      <x:c r="E349" s="29" t="str">
        <x:v>2026-09-13</x:v>
      </x:c>
      <x:c r="F349" s="29" t="str">
        <x:v>2026-09-13</x:v>
      </x:c>
      <x:c r="G349" s="29" t="str">
        <x:v>2026-09-14</x:v>
      </x:c>
      <x:c r="H349" s="29" t="str">
        <x:v>2026-09-14</x:v>
      </x:c>
      <x:c r="I349" s="28" t="str">
        <x:v>Submitted</x:v>
      </x:c>
      <x:c r="J349" s="30" t="n">
        <x:v>125000</x:v>
      </x:c>
      <x:c r="K349" s="30" t="n">
        <x:v>165000</x:v>
      </x:c>
      <x:c r="L349" s="28" t="str">
        <x:v>15-2051</x:v>
      </x:c>
      <x:c r="M349" s="28" t="str">
        <x:v>Data Scientists</x:v>
      </x:c>
      <x:c r="N349" s="31" t="str">
        <x:v>Using preferred Boston remote worksite, Data Scientists levels are L1 $88,920, L2 $112,861, L3 $136,781 and L4 $160,722. The entire range clears Level 2; offers from $136,781 clear Level 3 and the maximum clears Level 4.</x:v>
      </x:c>
      <x:c r="O349" s="31" t="str">
        <x:v>Malden/Boston, MA remote</x:v>
      </x:c>
      <x:c r="P349" s="31" t="str">
        <x:v>Remote U.S. or Europe</x:v>
      </x:c>
      <x:c r="Q349" s="31" t="str">
        <x:v>Remote</x:v>
      </x:c>
      <x:c r="R349" s="31" t="str">
        <x:v>Not stated in either the LinkedIn or official Ashby description. Future H-1B support must be confirmed.</x:v>
      </x:c>
      <x:c r="S349" s="31" t="str">
        <x:v>Moderate-to-strong stretch</x:v>
      </x:c>
      <x:c r="T349" s="31" t="str">
        <x:v>Python, vLLM, GPU inference, cloud infrastructure, CI/CD, observability and scalable model serving align well. Deep audio-model expertise and production Kubernetes autoscaling are the main gaps.</x:v>
      </x:c>
      <x:c r="U349" s="31" t="str">
        <x:v>Yuxuan_Chen_Resume_Giga_Software_Engineer_AI_Agents_20260907.pdf</x:v>
      </x:c>
      <x:c r="V349" s="31" t="str">
        <x:v>None</x:v>
      </x:c>
      <x:c r="W349" s="31" t="str">
        <x:v>Submitted successfully through Ashby on 2026-09-14 for remote work from Malden, MA. Included contact details, LinkedIn, AI resume and concise product-feature response.</x:v>
      </x:c>
    </x:row>
    <x:row r="350">
      <x:c r="A350" s="28" t="str">
        <x:v>Exelixis</x:v>
      </x:c>
      <x:c r="B350" s="28" t="str">
        <x:v>Associate Engineer - AI and Agentic</x:v>
      </x:c>
      <x:c r="C350" s="28" t="str">
        <x:v>https://www.linkedin.com/jobs/view/4453650478/</x:v>
      </x:c>
      <x:c r="D350" s="28" t="str">
        <x:v>https://www.exelixis.com/careers/job-description/?jobID=JR7031</x:v>
      </x:c>
      <x:c r="E350" s="29" t="str">
        <x:v>LinkedIn reposted approximately 2026-09-06</x:v>
      </x:c>
      <x:c r="F350" s="29" t="str">
        <x:v>2026-09-13</x:v>
      </x:c>
      <x:c r="G350" s="29" t="str">
        <x:v>2026-09-14</x:v>
      </x:c>
      <x:c r="H350" s="29"/>
      <x:c r="I350" s="28" t="str">
        <x:v>Needs input</x:v>
      </x:c>
      <x:c r="J350" s="30" t="n">
        <x:v>103000</x:v>
      </x:c>
      <x:c r="K350" s="30" t="n">
        <x:v>145000</x:v>
      </x:c>
      <x:c r="L350" s="28" t="str">
        <x:v>15-2051</x:v>
      </x:c>
      <x:c r="M350" s="28" t="str">
        <x:v>Data Scientists</x:v>
      </x:c>
      <x:c r="N350" s="31" t="str">
        <x:v>Alameda uses the San Francisco-Oakland-Fremont Data Scientists wage area: L1 $110,386, L2 $142,438, L3 $174,512 and L4 $206,565. Offers from $110,386 clear Level 1; nearly the entire range above its bottom $7,386 qualifies, and the top clears Level 2.</x:v>
      </x:c>
      <x:c r="O350" s="31" t="str">
        <x:v>Alameda, CA</x:v>
      </x:c>
      <x:c r="P350" s="31" t="str">
        <x:v>None listed</x:v>
      </x:c>
      <x:c r="Q350" s="31" t="str">
        <x:v>On-site</x:v>
      </x:c>
      <x:c r="R350" s="31" t="str">
        <x:v>No sponsorship exclusion or promise appears in the full posting or official job page. Future H-1B support remains to be confirmed.</x:v>
      </x:c>
      <x:c r="S350" s="31" t="str">
        <x:v>Exceptional</x:v>
      </x:c>
      <x:c r="T350" s="31" t="str">
        <x:v>The role explicitly targets early experience from internships, academic projects and research, and asks for AI prototypes, agent workflows, RAG, API integrations, prompts, tests and documentation—all direct matches to the candidate's background.</x:v>
      </x:c>
      <x:c r="U350" s="31" t="str">
        <x:v>Yuxuan_Chen_Resume_Giga_Software_Engineer_AI_Agents_20260907.pdf planned</x:v>
      </x:c>
      <x:c r="V350" s="31" t="str">
        <x:v>Exelixis Workday requires creation of a new employer-specific account; final account creation needs a separate action-time confirmation.</x:v>
      </x:c>
      <x:c r="W350" s="31" t="str">
        <x:v>Application opened on 2026-09-14. No existing Exelixis Workday account or saved sign-in was available. Held at account-creation step while other confirmed applications continue.</x:v>
      </x:c>
    </x:row>
    <x:row r="351">
      <x:c r="A351" s="28" t="str">
        <x:v>Brain Co.</x:v>
      </x:c>
      <x:c r="B351" s="28" t="str">
        <x:v>Early Career Machine Learning Engineer, Applied AI</x:v>
      </x:c>
      <x:c r="C351" s="28" t="str">
        <x:v>https://www.linkedin.com/jobs/view/4362406858/</x:v>
      </x:c>
      <x:c r="D351" s="28" t="str">
        <x:v>https://jobs.ashbyhq.com/brainco/bb6e555b-8bb1-4cd7-9813-4f82a5ebe839</x:v>
      </x:c>
      <x:c r="E351" s="29" t="str">
        <x:v>LinkedIn reposted approximately 2026-09-06</x:v>
      </x:c>
      <x:c r="F351" s="29" t="str">
        <x:v>2026-09-13</x:v>
      </x:c>
      <x:c r="G351" s="29" t="str">
        <x:v>2026-09-14</x:v>
      </x:c>
      <x:c r="H351" s="29" t="str">
        <x:v>2026-09-14</x:v>
      </x:c>
      <x:c r="I351" s="28" t="str">
        <x:v>Submitted</x:v>
      </x:c>
      <x:c r="J351" s="30"/>
      <x:c r="K351" s="30"/>
      <x:c r="L351" s="28" t="str">
        <x:v>15-2051</x:v>
      </x:c>
      <x:c r="M351" s="28" t="str">
        <x:v>Data Scientists</x:v>
      </x:c>
      <x:c r="N351" s="31" t="str">
        <x:v>San Francisco-Oakland-Fremont Data Scientists levels are L1 $110,386, L2 $142,438, L3 $174,512 and L4 $206,565. Compensation is described only as competitive, so wage compatibility cannot yet be proven and must be confirmed during the process.</x:v>
      </x:c>
      <x:c r="O351" s="31" t="str">
        <x:v>San Francisco Bay Area, CA</x:v>
      </x:c>
      <x:c r="P351" s="31" t="str">
        <x:v>None listed</x:v>
      </x:c>
      <x:c r="Q351" s="31" t="str">
        <x:v>Hybrid</x:v>
      </x:c>
      <x:c r="R351" s="31" t="str">
        <x:v>No sponsorship exclusion or promise appears in the full LinkedIn or official Ashby posting. Work with governments is described, but no U.S. clearance or citizenship requirement is stated.</x:v>
      </x:c>
      <x:c r="S351" s="31" t="str">
        <x:v>Strong</x:v>
      </x:c>
      <x:c r="T351" s="31" t="str">
        <x:v>The stated 0-2 years profile, GenAI agents, reasoning workflows, RAG, scalable data pipelines, production deployments and end-to-end ownership align closely. The main gap is limited explicit PyTorch/JAX/TensorFlow model implementation.</x:v>
      </x:c>
      <x:c r="U351" s="31" t="str">
        <x:v>Yuxuan_Chen_Resume_Giga_Software_Engineer_AI_Agents_20260907.pdf</x:v>
      </x:c>
      <x:c r="V351" s="31" t="str">
        <x:v>None</x:v>
      </x:c>
      <x:c r="W351" s="31" t="str">
        <x:v>Submitted successfully through Ashby on 2026-09-14 with AI resume and LinkedIn. Confirmed current U.S. work authorization. Salary and future sponsorship remain undisclosed.</x:v>
      </x:c>
    </x:row>
    <x:row r="352">
      <x:c r="A352" s="28" t="str">
        <x:v>Intuit</x:v>
      </x:c>
      <x:c r="B352" s="28" t="str">
        <x:v>Software Engineer 1</x:v>
      </x:c>
      <x:c r="C352" s="28" t="str">
        <x:v>https://www.linkedin.com/jobs/view/4401727507/</x:v>
      </x:c>
      <x:c r="D352" s="28" t="str">
        <x:v>https://jobs.intuit.com/job/-/-/27595/87369448720</x:v>
      </x:c>
      <x:c r="E352" s="29" t="str">
        <x:v>2026-09</x:v>
      </x:c>
      <x:c r="F352" s="29" t="str">
        <x:v>2026-09-14</x:v>
      </x:c>
      <x:c r="G352" s="29" t="str">
        <x:v>2026-09-14</x:v>
      </x:c>
      <x:c r="H352" s="29" t="str">
        <x:v>2026-09-14</x:v>
      </x:c>
      <x:c r="I352" s="28" t="str">
        <x:v>Submitted</x:v>
      </x:c>
      <x:c r="J352" s="30" t="n">
        <x:v>119600</x:v>
      </x:c>
      <x:c r="K352" s="30" t="n">
        <x:v>162240</x:v>
      </x:c>
      <x:c r="L352" s="28" t="str">
        <x:v>15-1252</x:v>
      </x:c>
      <x:c r="M352" s="28" t="str">
        <x:v>Software Developers</x:v>
      </x:c>
      <x:c r="N352" s="31" t="str">
        <x:v>New York-Newark-Jersey City L1 is $109,845. The annualized $119,600-$162,240 range fully clears Level 1.</x:v>
      </x:c>
      <x:c r="O352" s="31" t="str">
        <x:v>New York, NY</x:v>
      </x:c>
      <x:c r="P352" s="31" t="str">
        <x:v>Mountain View, CA; Atlanta, GA; San Diego, CA</x:v>
      </x:c>
      <x:c r="Q352" s="31" t="str">
        <x:v>Not specified</x:v>
      </x:c>
      <x:c r="R352" s="31" t="str">
        <x:v>Not stated in the posting; Intuit is a large employer with sponsorship history, so proceed with truthful future-sponsorship disclosure.</x:v>
      </x:c>
      <x:c r="S352" s="31" t="str">
        <x:v>Exceptional</x:v>
      </x:c>
      <x:c r="T352" s="31" t="str">
        <x:v>Entry-level scope and direct overlap with Python, Java, JavaScript, React, REST APIs, SQL and cloud-backed product engineering.</x:v>
      </x:c>
      <x:c r="U352" s="31" t="str">
        <x:v>Yuxuan_Chen_Resume_Salesforce_Software_Engineering_AMTS_20260907.pdf planned</x:v>
      </x:c>
      <x:c r="V352" s="31" t="str">
        <x:v>The Intuit Avature application requires setting a new account password; final account creation needs a separate action-time confirmation.</x:v>
      </x:c>
      <x:c r="W352" s="31" t="str">
        <x:v>Application started on 2026-09-14. Tailored resume uploaded and parsed; personal, education and experience form opened. Held before password/account creation while other confirmed applications continue. New York remains the wage-preferred location.</x:v>
      </x:c>
    </x:row>
    <x:row r="353">
      <x:c r="A353" s="28" t="str">
        <x:v>GE Vernova</x:v>
      </x:c>
      <x:c r="B353" s="28" t="str">
        <x:v>AI Engineer</x:v>
      </x:c>
      <x:c r="C353" s="28" t="str">
        <x:v>Not captured</x:v>
      </x:c>
      <x:c r="D353" s="28" t="str">
        <x:v>https://careers.gevernova.com/ai-engineer/job/R5051916</x:v>
      </x:c>
      <x:c r="E353" s="29" t="str">
        <x:v>2026-09-10</x:v>
      </x:c>
      <x:c r="F353" s="29" t="str">
        <x:v>2026-09-14</x:v>
      </x:c>
      <x:c r="G353" s="29" t="str">
        <x:v>2026-09-14</x:v>
      </x:c>
      <x:c r="H353" s="29"/>
      <x:c r="I353" s="28" t="str">
        <x:v>Needs input</x:v>
      </x:c>
      <x:c r="J353" s="30" t="n">
        <x:v>70400</x:v>
      </x:c>
      <x:c r="K353" s="30" t="n">
        <x:v>105600</x:v>
      </x:c>
      <x:c r="L353" s="28" t="str">
        <x:v>15-2051</x:v>
      </x:c>
      <x:c r="M353" s="28" t="str">
        <x:v>Data Scientists</x:v>
      </x:c>
      <x:c r="N353" s="31" t="str">
        <x:v>Greenville Data Scientists L1 is $63,981. The full $70,400-$105,600 range clears Level 1.</x:v>
      </x:c>
      <x:c r="O353" s="31" t="str">
        <x:v>Greenville, SC</x:v>
      </x:c>
      <x:c r="P353" s="31"/>
      <x:c r="Q353" s="31" t="str">
        <x:v>On-site</x:v>
      </x:c>
      <x:c r="R353" s="31" t="str">
        <x:v>Posting requires legal work authorization but does not explicitly exclude present or future sponsorship.</x:v>
      </x:c>
      <x:c r="S353" s="31" t="str">
        <x:v>Exceptional</x:v>
      </x:c>
      <x:c r="T353" s="31" t="str">
        <x:v>Python, APIs, GenAI, RAG, agents, vector search, evaluation, SQL, containers, cloud and CI/CD closely match the resume.</x:v>
      </x:c>
      <x:c r="U353" s="31" t="str">
        <x:v>Yuxuan_Chen_Resume_Giga_Software_Engineer_AI_Agents_20260907.pdf planned</x:v>
      </x:c>
      <x:c r="V353" s="31" t="str">
        <x:v>GE Vernova Workday requires creation of a new employer-specific account; final account creation needs a separate action-time confirmation.</x:v>
      </x:c>
      <x:c r="W353" s="31" t="str">
        <x:v>Application opened on 2026-09-14 and held at Workday account creation while other confirmed applications continue. Official description reviewed; application closes 2026-09-30.</x:v>
      </x:c>
    </x:row>
    <x:row r="354">
      <x:c r="A354" s="28" t="str">
        <x:v>Amazon Web Services</x:v>
      </x:c>
      <x:c r="B354" s="28" t="str">
        <x:v>Software Development Engineer I, Graviton Software, Annapurna Labs</x:v>
      </x:c>
      <x:c r="C354" s="28" t="str">
        <x:v>https://www.linkedin.com/jobs/view/4455782924/</x:v>
      </x:c>
      <x:c r="D354" s="28" t="str">
        <x:v>https://amazon.jobs/en-gb/jobs/10475663/software-dev-engineer-i-graviton-software-annapurna-labs</x:v>
      </x:c>
      <x:c r="E354" s="29" t="str">
        <x:v>2026-09</x:v>
      </x:c>
      <x:c r="F354" s="29" t="str">
        <x:v>2026-09-14</x:v>
      </x:c>
      <x:c r="G354" s="29" t="str">
        <x:v>2026-09-14</x:v>
      </x:c>
      <x:c r="H354" s="29" t="str">
        <x:v>2026-09-14</x:v>
      </x:c>
      <x:c r="I354" s="28" t="str">
        <x:v>Submitted</x:v>
      </x:c>
      <x:c r="J354" s="30" t="n">
        <x:v>110500</x:v>
      </x:c>
      <x:c r="K354" s="30" t="n">
        <x:v>160000</x:v>
      </x:c>
      <x:c r="L354" s="28" t="str">
        <x:v>15-1252</x:v>
      </x:c>
      <x:c r="M354" s="28" t="str">
        <x:v>Software Developers</x:v>
      </x:c>
      <x:c r="N354" s="31" t="str">
        <x:v>Austin Software Developers L1 is $95,888. The full $110,500-$160,000 range clears Level 1.</x:v>
      </x:c>
      <x:c r="O354" s="31" t="str">
        <x:v>Austin, TX</x:v>
      </x:c>
      <x:c r="P354" s="31"/>
      <x:c r="Q354" s="31" t="str">
        <x:v>On-site</x:v>
      </x:c>
      <x:c r="R354" s="31" t="str">
        <x:v>No sponsorship exclusion in the full posting; Amazon has extensive H-1B sponsorship history.</x:v>
      </x:c>
      <x:c r="S354" s="31" t="str">
        <x:v>Strong technical stretch</x:v>
      </x:c>
      <x:c r="T354" s="31" t="str">
        <x:v>Programming, OOP, data structures and cloud systems fit; low-level kernel, Rust and C++ work are stretch areas.</x:v>
      </x:c>
      <x:c r="U354" s="31" t="str">
        <x:v>Existing Amazon profile resume</x:v>
      </x:c>
      <x:c r="V354" s="31" t="str">
        <x:v>None</x:v>
      </x:c>
      <x:c r="W354" s="31" t="str">
        <x:v>Submitted successfully through Amazon Jobs on 2026-09-14. Confirmed programming, algorithms, internship, cloud/database, full-time availability, future sponsorship and export-control responses using the existing Amazon profile.</x:v>
      </x:c>
    </x:row>
    <x:row r="355">
      <x:c r="A355" s="28" t="str">
        <x:v>Audible (Amazon)</x:v>
      </x:c>
      <x:c r="B355" s="28" t="str">
        <x:v>Software Development Engineer, Early Career - Cambridge</x:v>
      </x:c>
      <x:c r="C355" s="28" t="str">
        <x:v>Not captured</x:v>
      </x:c>
      <x:c r="D355" s="28" t="str">
        <x:v>https://www.amazon.jobs/jobs/10530257/software-development-engineer-early-career</x:v>
      </x:c>
      <x:c r="E355" s="29" t="str">
        <x:v>2026-09</x:v>
      </x:c>
      <x:c r="F355" s="29" t="str">
        <x:v>2026-09-14</x:v>
      </x:c>
      <x:c r="G355" s="29" t="str">
        <x:v>2026-09-14</x:v>
      </x:c>
      <x:c r="H355" s="29" t="str">
        <x:v>2026-09-14</x:v>
      </x:c>
      <x:c r="I355" s="28" t="str">
        <x:v>Submitted</x:v>
      </x:c>
      <x:c r="J355" s="30" t="n">
        <x:v>129000</x:v>
      </x:c>
      <x:c r="K355" s="30" t="n">
        <x:v>129000</x:v>
      </x:c>
      <x:c r="L355" s="28" t="str">
        <x:v>15-1252</x:v>
      </x:c>
      <x:c r="M355" s="28" t="str">
        <x:v>Software Developers</x:v>
      </x:c>
      <x:c r="N355" s="31" t="str">
        <x:v>Boston Software Developers L1 is $114,275. The $129,000 base salary clears Level 1.</x:v>
      </x:c>
      <x:c r="O355" s="31" t="str">
        <x:v>Cambridge, MA</x:v>
      </x:c>
      <x:c r="P355" s="31"/>
      <x:c r="Q355" s="31" t="str">
        <x:v>Not specified</x:v>
      </x:c>
      <x:c r="R355" s="31" t="str">
        <x:v>No sponsorship exclusion in the full posting; Amazon has extensive H-1B sponsorship history.</x:v>
      </x:c>
      <x:c r="S355" s="31" t="str">
        <x:v>Exceptional</x:v>
      </x:c>
      <x:c r="T355" s="31" t="str">
        <x:v>Early-career degree profile, programming, data structures, internship experience, cloud and databases align directly.</x:v>
      </x:c>
      <x:c r="U355" s="31" t="str">
        <x:v>Existing Amazon profile resume</x:v>
      </x:c>
      <x:c r="V355" s="31" t="str">
        <x:v>None</x:v>
      </x:c>
      <x:c r="W355" s="31" t="str">
        <x:v>Submitted successfully through Amazon Jobs on 2026-09-14. Reused completed profile, disclosed prior Amazon applications, future immigration sponsorship, China residence/citizenship, no government employment and no permanent residence outside China. SMS verification skipped.</x:v>
      </x:c>
    </x:row>
    <x:row r="356">
      <x:c r="A356" s="28" t="str">
        <x:v>Audible (Amazon)</x:v>
      </x:c>
      <x:c r="B356" s="28" t="str">
        <x:v>Software Development Engineer, Early Career - Newark</x:v>
      </x:c>
      <x:c r="C356" s="28" t="str">
        <x:v>Not captured</x:v>
      </x:c>
      <x:c r="D356" s="28" t="str">
        <x:v>https://www.amazon.jobs/jobs/10529830/software-development-engineer-early-career</x:v>
      </x:c>
      <x:c r="E356" s="29" t="str">
        <x:v>2026-09</x:v>
      </x:c>
      <x:c r="F356" s="29" t="str">
        <x:v>2026-09-14</x:v>
      </x:c>
      <x:c r="G356" s="29"/>
      <x:c r="H356" s="29" t="str">
        <x:v>Previously submitted; confirmed 2026-09-14</x:v>
      </x:c>
      <x:c r="I356" s="28" t="str">
        <x:v>Submitted</x:v>
      </x:c>
      <x:c r="J356" s="30" t="n">
        <x:v>141900</x:v>
      </x:c>
      <x:c r="K356" s="30" t="n">
        <x:v>141900</x:v>
      </x:c>
      <x:c r="L356" s="28" t="str">
        <x:v>15-1252</x:v>
      </x:c>
      <x:c r="M356" s="28" t="str">
        <x:v>Software Developers</x:v>
      </x:c>
      <x:c r="N356" s="31" t="str">
        <x:v>New York-Newark-Jersey City Software Developers L1 is $109,845. The $141,900 base salary clears Level 1.</x:v>
      </x:c>
      <x:c r="O356" s="31" t="str">
        <x:v>Newark, NJ</x:v>
      </x:c>
      <x:c r="P356" s="31" t="str">
        <x:v>Cambridge, MA</x:v>
      </x:c>
      <x:c r="Q356" s="31" t="str">
        <x:v>Not specified</x:v>
      </x:c>
      <x:c r="R356" s="31" t="str">
        <x:v>No sponsorship exclusion in the full posting; Amazon has extensive H-1B sponsorship history.</x:v>
      </x:c>
      <x:c r="S356" s="31" t="str">
        <x:v>Exceptional</x:v>
      </x:c>
      <x:c r="T356" s="31" t="str">
        <x:v>Early-career degree profile, programming, data structures, internships, cloud and databases align directly.</x:v>
      </x:c>
      <x:c r="U356" s="31" t="str">
        <x:v>Existing Amazon profile resume</x:v>
      </x:c>
      <x:c r="V356" s="31" t="str">
        <x:v>None</x:v>
      </x:c>
      <x:c r="W356" s="31" t="str">
        <x:v>Amazon Jobs returned 'You have already applied for this position' on 2026-09-14. Application is active and will be processed shortly; exact original submission date was not exposed on the summary page.</x:v>
      </x:c>
    </x:row>
    <x:row r="357">
      <x:c r="A357" s="28" t="str">
        <x:v>Amazon Web Services</x:v>
      </x:c>
      <x:c r="B357" s="28" t="str">
        <x:v>Software Development Engineer I, ML Infra Services, Annapurna Labs</x:v>
      </x:c>
      <x:c r="C357" s="28" t="str">
        <x:v>Not captured</x:v>
      </x:c>
      <x:c r="D357" s="28" t="str">
        <x:v>https://www.amazon.jobs/jobs/10464055/software-development-engineer-i-ml-infra-services-annapurna-labs</x:v>
      </x:c>
      <x:c r="E357" s="29" t="str">
        <x:v>2026-09</x:v>
      </x:c>
      <x:c r="F357" s="29" t="str">
        <x:v>2026-09-14</x:v>
      </x:c>
      <x:c r="G357" s="29"/>
      <x:c r="H357" s="29" t="str">
        <x:v>Previously submitted; confirmed 2026-09-14</x:v>
      </x:c>
      <x:c r="I357" s="28" t="str">
        <x:v>Submitted</x:v>
      </x:c>
      <x:c r="J357" s="30" t="n">
        <x:v>127100</x:v>
      </x:c>
      <x:c r="K357" s="30" t="n">
        <x:v>185000</x:v>
      </x:c>
      <x:c r="L357" s="28" t="str">
        <x:v>15-1252</x:v>
      </x:c>
      <x:c r="M357" s="28" t="str">
        <x:v>Software Developers</x:v>
      </x:c>
      <x:c r="N357" s="31" t="str">
        <x:v>San Jose Software Developers L1 is $152,797. Only offers at or above $152,797 qualify; the upper portion of the $127,100-$185,000 range clears Level 1.</x:v>
      </x:c>
      <x:c r="O357" s="31" t="str">
        <x:v>Cupertino, CA</x:v>
      </x:c>
      <x:c r="P357" s="31"/>
      <x:c r="Q357" s="31" t="str">
        <x:v>On-site</x:v>
      </x:c>
      <x:c r="R357" s="31" t="str">
        <x:v>No sponsorship exclusion in the full posting; Amazon has extensive H-1B sponsorship history.</x:v>
      </x:c>
      <x:c r="S357" s="31" t="str">
        <x:v>Strong technical stretch</x:v>
      </x:c>
      <x:c r="T357" s="31" t="str">
        <x:v>Python, TypeScript, cloud, Kubernetes, Linux, CI/CD and ML infrastructure align; accelerator tooling is a stretch.</x:v>
      </x:c>
      <x:c r="U357" s="31" t="str">
        <x:v>Existing Amazon profile resume</x:v>
      </x:c>
      <x:c r="V357" s="31" t="str">
        <x:v>None</x:v>
      </x:c>
      <x:c r="W357" s="31" t="str">
        <x:v>Amazon Jobs confirmed on 2026-09-14 that this position had already been applied to; exact original submission date was not exposed. If progressed, target compensation must be at least $152,797 for local Level 1 compatibility.</x:v>
      </x:c>
    </x:row>
    <x:row r="358">
      <x:c r="A358" s="28" t="str">
        <x:v>WeRide</x:v>
      </x:c>
      <x:c r="B358" s="28" t="str">
        <x:v>New Grads 2027 Software Engineer, Perception / Computer Vision</x:v>
      </x:c>
      <x:c r="C358" s="28" t="str">
        <x:v>Not captured</x:v>
      </x:c>
      <x:c r="D358" s="28" t="str">
        <x:v>https://jobs.lever.co/weride/5cde0d09-ba2d-408d-947e-4a42028cd4f7</x:v>
      </x:c>
      <x:c r="E358" s="29" t="str">
        <x:v>2026-09</x:v>
      </x:c>
      <x:c r="F358" s="29" t="str">
        <x:v>2026-09-14</x:v>
      </x:c>
      <x:c r="G358" s="29" t="str">
        <x:v>2026-09-14</x:v>
      </x:c>
      <x:c r="H358" s="29"/>
      <x:c r="I358" s="28" t="str">
        <x:v>Needs input</x:v>
      </x:c>
      <x:c r="J358" s="30" t="n">
        <x:v>120000</x:v>
      </x:c>
      <x:c r="K358" s="30" t="n">
        <x:v>165000</x:v>
      </x:c>
      <x:c r="L358" s="28" t="str">
        <x:v>15-2051</x:v>
      </x:c>
      <x:c r="M358" s="28" t="str">
        <x:v>Data Scientists</x:v>
      </x:c>
      <x:c r="N358" s="31" t="str">
        <x:v>San Jose Data Scientists L1 is $125,486. Offers at or above $125,486 qualify; most of the range clears Level 1.</x:v>
      </x:c>
      <x:c r="O358" s="31" t="str">
        <x:v>San Jose, CA</x:v>
      </x:c>
      <x:c r="P358" s="31"/>
      <x:c r="Q358" s="31" t="str">
        <x:v>On-site</x:v>
      </x:c>
      <x:c r="R358" s="31" t="str">
        <x:v>Application asks about future sponsorship and contains no exclusion; answer yes truthfully.</x:v>
      </x:c>
      <x:c r="S358" s="31" t="str">
        <x:v>Moderate to strong stretch</x:v>
      </x:c>
      <x:c r="T358" s="31" t="str">
        <x:v>Python, ML, NLP, data pipelines and VLM exposure align; robotics, LiDAR and 3D geometry are gaps.</x:v>
      </x:c>
      <x:c r="U358" s="31" t="str">
        <x:v>Yuxuan_Chen_Resume_Giga_Software_Engineer_AI_Agents_20260907.pdf planned</x:v>
      </x:c>
      <x:c r="V358" s="31" t="str">
        <x:v>Final submission is blocked by an image hCaptcha challenge.</x:v>
      </x:c>
      <x:c r="W358" s="31" t="str">
        <x:v>Application fully completed on 2026-09-14 with AI resume, contact/profile details, December 2026 graduation, current authorization=yes, future sponsorship=yes, U.S.-only location preference and voluntary demographics. Lever triggered hCaptcha at submission; not yet submitted.</x:v>
      </x:c>
    </x:row>
    <x:row r="359">
      <x:c r="A359" s="28" t="str">
        <x:v>WeRide</x:v>
      </x:c>
      <x:c r="B359" s="28" t="str">
        <x:v>New Grads 2027 Software Engineer, Algorithm</x:v>
      </x:c>
      <x:c r="C359" s="28" t="str">
        <x:v>Not captured</x:v>
      </x:c>
      <x:c r="D359" s="28" t="str">
        <x:v>https://jobs.lever.co/weride/5a7cbc83-2381-482e-9d6d-e9c9d59ad63b</x:v>
      </x:c>
      <x:c r="E359" s="29" t="str">
        <x:v>2026-09</x:v>
      </x:c>
      <x:c r="F359" s="29" t="str">
        <x:v>2026-09-14</x:v>
      </x:c>
      <x:c r="G359" s="29" t="str">
        <x:v>2026-09-14</x:v>
      </x:c>
      <x:c r="H359" s="29"/>
      <x:c r="I359" s="28" t="str">
        <x:v>Needs input</x:v>
      </x:c>
      <x:c r="J359" s="30" t="n">
        <x:v>120000</x:v>
      </x:c>
      <x:c r="K359" s="30" t="n">
        <x:v>165000</x:v>
      </x:c>
      <x:c r="L359" s="28" t="str">
        <x:v>15-2051</x:v>
      </x:c>
      <x:c r="M359" s="28" t="str">
        <x:v>Data Scientists</x:v>
      </x:c>
      <x:c r="N359" s="31" t="str">
        <x:v>San Jose Data Scientists L1 is $125,486. Offers at or above $125,486 qualify; most of the range clears Level 1.</x:v>
      </x:c>
      <x:c r="O359" s="31" t="str">
        <x:v>San Jose, CA</x:v>
      </x:c>
      <x:c r="P359" s="31"/>
      <x:c r="Q359" s="31" t="str">
        <x:v>On-site</x:v>
      </x:c>
      <x:c r="R359" s="31" t="str">
        <x:v>Application asks about future sponsorship and contains no exclusion; answer yes truthfully.</x:v>
      </x:c>
      <x:c r="S359" s="31" t="str">
        <x:v>Strong stretch</x:v>
      </x:c>
      <x:c r="T359" s="31" t="str">
        <x:v>MS degree, Python/C++, algorithms and analytical modeling align; autonomous-driving prediction and planning are domain gaps.</x:v>
      </x:c>
      <x:c r="U359" s="31" t="str">
        <x:v>Yuxuan_Chen_Resume_Giga_Software_Engineer_AI_Agents_20260907.pdf selected; upload pending</x:v>
      </x:c>
      <x:c r="V359" s="31" t="str">
        <x:v>The current in-app browser control cannot attach a local file in Lever's upload widget. All other application fields are complete; resume upload and any CAPTCHA exposed on submission remain.</x:v>
      </x:c>
      <x:c r="W359" s="31" t="str">
        <x:v>Official Lever description reviewed; graduation window matches. Form completed on 2026-09-14 with contact details, links, December 2026 graduation, U.S. work authorization, future sponsorship, U.S.-only location preference, consent and voluntary demographics. Left open at the resume-upload step.</x:v>
      </x:c>
    </x:row>
    <x:row r="360">
      <x:c r="A360" s="28" t="str">
        <x:v>Greenboard</x:v>
      </x:c>
      <x:c r="B360" s="28" t="str">
        <x:v>Software Engineer (2027 Grads)</x:v>
      </x:c>
      <x:c r="C360" s="28" t="str">
        <x:v>Not captured</x:v>
      </x:c>
      <x:c r="D360" s="28" t="str">
        <x:v>https://jobs.ashbyhq.com/greenboard/e5deef5b-8667-48d7-be48-a0b6616eaba5</x:v>
      </x:c>
      <x:c r="E360" s="29" t="str">
        <x:v>2026-09</x:v>
      </x:c>
      <x:c r="F360" s="29" t="str">
        <x:v>2026-09-14</x:v>
      </x:c>
      <x:c r="G360" s="29" t="str">
        <x:v>2026-09-14</x:v>
      </x:c>
      <x:c r="H360" s="29" t="str">
        <x:v>2026-09-14</x:v>
      </x:c>
      <x:c r="I360" s="28" t="str">
        <x:v>Submitted</x:v>
      </x:c>
      <x:c r="J360" s="30" t="n">
        <x:v>130000</x:v>
      </x:c>
      <x:c r="K360" s="30" t="n">
        <x:v>150000</x:v>
      </x:c>
      <x:c r="L360" s="28" t="str">
        <x:v>15-1252</x:v>
      </x:c>
      <x:c r="M360" s="28" t="str">
        <x:v>Software Developers</x:v>
      </x:c>
      <x:c r="N360" s="31" t="str">
        <x:v>New York Software Developers L1 is $109,845. The full $130,000-$150,000 range clears Level 1.</x:v>
      </x:c>
      <x:c r="O360" s="31" t="str">
        <x:v>New York, NY</x:v>
      </x:c>
      <x:c r="P360" s="31"/>
      <x:c r="Q360" s="31" t="str">
        <x:v>On-site</x:v>
      </x:c>
      <x:c r="R360" s="31" t="str">
        <x:v>Not stated; future H-1B support must be confirmed during the process.</x:v>
      </x:c>
      <x:c r="S360" s="31" t="str">
        <x:v>Exceptional</x:v>
      </x:c>
      <x:c r="T360" s="31" t="str">
        <x:v>AI agents, data infrastructure, Node, Python and AWS align closely; December 2026 graduation matches.</x:v>
      </x:c>
      <x:c r="U360" s="31" t="str">
        <x:v>Yuxuan_Chen_Resume_Giga_Software_Engineer_AI_Agents_20260907.pdf</x:v>
      </x:c>
      <x:c r="V360" s="31" t="str">
        <x:v>None</x:v>
      </x:c>
      <x:c r="W360" s="31" t="str">
        <x:v>Submitted successfully through Ashby on 2026-09-14. Confirmed NYC five-day office availability, current U.S. work authorization and future sponsorship requirement; tailored motivation response included.</x:v>
      </x:c>
    </x:row>
    <x:row r="361">
      <x:c r="A361" s="28" t="str">
        <x:v>Pangram Labs</x:v>
      </x:c>
      <x:c r="B361" s="28" t="str">
        <x:v>Software Engineer, Customer Solutions</x:v>
      </x:c>
      <x:c r="C361" s="28" t="str">
        <x:v>Not captured</x:v>
      </x:c>
      <x:c r="D361" s="28" t="str">
        <x:v>https://jobs.ashbyhq.com/pangramlabs/0512183c-2373-499c-8459-91d0fd2d72f3</x:v>
      </x:c>
      <x:c r="E361" s="29" t="str">
        <x:v>2026-09</x:v>
      </x:c>
      <x:c r="F361" s="29" t="str">
        <x:v>2026-09-14</x:v>
      </x:c>
      <x:c r="G361" s="29" t="str">
        <x:v>2026-09-14</x:v>
      </x:c>
      <x:c r="H361" s="29" t="str">
        <x:v>2026-09-14</x:v>
      </x:c>
      <x:c r="I361" s="28" t="str">
        <x:v>Submitted</x:v>
      </x:c>
      <x:c r="J361" s="30" t="n">
        <x:v>120000</x:v>
      </x:c>
      <x:c r="K361" s="30" t="n">
        <x:v>150000</x:v>
      </x:c>
      <x:c r="L361" s="28" t="str">
        <x:v>15-1252</x:v>
      </x:c>
      <x:c r="M361" s="28" t="str">
        <x:v>Software Developers</x:v>
      </x:c>
      <x:c r="N361" s="31" t="str">
        <x:v>New York Software Developers L1 is $109,845. The full $120,000-$150,000 range clears Level 1.</x:v>
      </x:c>
      <x:c r="O361" s="31" t="str">
        <x:v>Brooklyn, NY</x:v>
      </x:c>
      <x:c r="P361" s="31"/>
      <x:c r="Q361" s="31" t="str">
        <x:v>On-site</x:v>
      </x:c>
      <x:c r="R361" s="31" t="str">
        <x:v>Not stated; future H-1B support must be confirmed during the process.</x:v>
      </x:c>
      <x:c r="S361" s="31" t="str">
        <x:v>Exceptional</x:v>
      </x:c>
      <x:c r="T361" s="31" t="str">
        <x:v>Python, REST, cloud, CI/CD, React and AI/ML closely match the resume; role targets 0-2 years.</x:v>
      </x:c>
      <x:c r="U361" s="31" t="str">
        <x:v>Yuxuan_Chen_Resume_Salesforce_Software_Engineering_AMTS_20260907.pdf</x:v>
      </x:c>
      <x:c r="V361" s="31" t="str">
        <x:v>None</x:v>
      </x:c>
      <x:c r="W361" s="31" t="str">
        <x:v>Submitted successfully through Ashby on 2026-09-14. Confirmed current U.S. work authorization. Optional prompts explicitly requesting no AI-written text were left blank.</x:v>
      </x:c>
    </x:row>
    <x:row r="362">
      <x:c r="A362" s="28" t="str">
        <x:v>Newfold Digital (Bluehost)</x:v>
      </x:c>
      <x:c r="B362" s="28" t="str">
        <x:v>Associate Backend Engineer</x:v>
      </x:c>
      <x:c r="C362" s="28" t="str">
        <x:v>Not captured</x:v>
      </x:c>
      <x:c r="D362" s="28" t="str">
        <x:v>https://web.wd1.myworkdayjobs.com/en-US/externalcareersite/job/United-States---Remote/Associate-Backend-Engineer_R15142-1</x:v>
      </x:c>
      <x:c r="E362" s="29" t="str">
        <x:v>2026-09-12</x:v>
      </x:c>
      <x:c r="F362" s="29" t="str">
        <x:v>2026-09-14</x:v>
      </x:c>
      <x:c r="G362" s="29" t="str">
        <x:v>2026-09-14</x:v>
      </x:c>
      <x:c r="H362" s="29"/>
      <x:c r="I362" s="28" t="str">
        <x:v>Needs input</x:v>
      </x:c>
      <x:c r="J362" s="30"/>
      <x:c r="K362" s="30"/>
      <x:c r="L362" s="28" t="str">
        <x:v>15-1252</x:v>
      </x:c>
      <x:c r="M362" s="28" t="str">
        <x:v>Software Developers</x:v>
      </x:c>
      <x:c r="N362" s="31" t="str">
        <x:v>Remote from Malden uses Boston Software Developers L1 $114,275. Salary is undisclosed, so offer-level compatibility remains to be verified.</x:v>
      </x:c>
      <x:c r="O362" s="31" t="str">
        <x:v>Remote from Malden, MA</x:v>
      </x:c>
      <x:c r="P362" s="31"/>
      <x:c r="Q362" s="31" t="str">
        <x:v>Remote U.S.</x:v>
      </x:c>
      <x:c r="R362" s="31" t="str">
        <x:v>Not stated; future H-1B support must be confirmed during the process.</x:v>
      </x:c>
      <x:c r="S362" s="31" t="str">
        <x:v>Strong</x:v>
      </x:c>
      <x:c r="T362" s="31" t="str">
        <x:v>Python, Linux, MySQL, REST, Git and AI-assisted engineering align; the 1-3 year preference is realistic with internships and research.</x:v>
      </x:c>
      <x:c r="U362" s="31" t="str">
        <x:v>Yuxuan_Chen_Resume_Zip_Software_Engineer_New_Grad_20260907.pdf planned</x:v>
      </x:c>
      <x:c r="V362" s="31" t="str">
        <x:v>Newfold Workday requires creation of a new candidate account and password before the application form can be accessed. Separate action-time confirmation is required before creating/saving the password.</x:v>
      </x:c>
      <x:c r="W362" s="31" t="str">
        <x:v>Official Workday description reviewed; remote role prioritized. Application started on 2026-09-14 and stopped only at Create Account, before entering or saving any password.</x:v>
      </x:c>
    </x:row>
    <x:row r="363">
      <x:c r="A363" s="28" t="str">
        <x:v>isolved</x:v>
      </x:c>
      <x:c r="B363" s="28" t="str">
        <x:v>Software Engineer I</x:v>
      </x:c>
      <x:c r="C363" s="28" t="str">
        <x:v>Not captured</x:v>
      </x:c>
      <x:c r="D363" s="28" t="str">
        <x:v>https://isolved.isolvedhire.com/jobs/1861239.html</x:v>
      </x:c>
      <x:c r="E363" s="29" t="str">
        <x:v>2026-09-09</x:v>
      </x:c>
      <x:c r="F363" s="29" t="str">
        <x:v>2026-09-14</x:v>
      </x:c>
      <x:c r="G363" s="29"/>
      <x:c r="H363" s="29"/>
      <x:c r="I363" s="28" t="str">
        <x:v>Needs input</x:v>
      </x:c>
      <x:c r="J363" s="30"/>
      <x:c r="K363" s="30"/>
      <x:c r="L363" s="28" t="str">
        <x:v>15-1252</x:v>
      </x:c>
      <x:c r="M363" s="28" t="str">
        <x:v>Software Developers</x:v>
      </x:c>
      <x:c r="N363" s="31" t="str">
        <x:v>Remote from Malden uses Boston Software Developers L1 $114,275. Salary is undisclosed, so offer-level compatibility remains to be verified.</x:v>
      </x:c>
      <x:c r="O363" s="31" t="str">
        <x:v>Remote from Malden, MA</x:v>
      </x:c>
      <x:c r="P363" s="31"/>
      <x:c r="Q363" s="31" t="str">
        <x:v>Remote U.S.</x:v>
      </x:c>
      <x:c r="R363" s="31" t="str">
        <x:v>Not stated in the official posting; future H-1B support must be confirmed.</x:v>
      </x:c>
      <x:c r="S363" s="31" t="str">
        <x:v>Moderate</x:v>
      </x:c>
      <x:c r="T363" s="31" t="str">
        <x:v>Junior scope, SQL, JavaScript and web development align; PHP and .NET are stack gaps.</x:v>
      </x:c>
      <x:c r="U363" s="31" t="str">
        <x:v>Yuxuan_Chen_Resume_Salesforce_Software_Engineering_AMTS_20260907.pdf planned</x:v>
      </x:c>
      <x:c r="V363" s="31" t="str">
        <x:v>The portal created an applicant account and now requires choosing and saving a password; saving the password needs a separate action-time confirmation.</x:v>
      </x:c>
      <x:c r="W363" s="31" t="str">
        <x:v>Application started on 2026-09-14. Contact consent, privacy terms and full address were submitted; portal created the applicant account and paused at password setup before job questions and resume upload.</x:v>
      </x:c>
    </x:row>
    <x:row r="364">
      <x:c r="A364" s="28" t="str">
        <x:v>Zoom</x:v>
      </x:c>
      <x:c r="B364" s="28" t="str">
        <x:v>Software Development Engineer</x:v>
      </x:c>
      <x:c r="C364" s="28" t="str">
        <x:v>https://www.linkedin.com/jobs/view/4465878494/</x:v>
      </x:c>
      <x:c r="D364" s="28" t="str">
        <x:v>https://zoom.wd5.myworkdayjobs.com/Zoom/job/San-Jose-CA/Software-Development-Engineer_R19357-1?source=linkedin</x:v>
      </x:c>
      <x:c r="E364" s="29" t="str">
        <x:v>2026-09-11</x:v>
      </x:c>
      <x:c r="F364" s="29" t="str">
        <x:v>2026-09-14</x:v>
      </x:c>
      <x:c r="G364" s="29" t="str">
        <x:v>2026-09-14</x:v>
      </x:c>
      <x:c r="H364" s="29"/>
      <x:c r="I364" s="28" t="str">
        <x:v>Needs input</x:v>
      </x:c>
      <x:c r="J364" s="30" t="n">
        <x:v>73300</x:v>
      </x:c>
      <x:c r="K364" s="30" t="n">
        <x:v>169500</x:v>
      </x:c>
      <x:c r="L364" s="28" t="str">
        <x:v>15-1252</x:v>
      </x:c>
      <x:c r="M364" s="28" t="str">
        <x:v>Software Developers</x:v>
      </x:c>
      <x:c r="N364" s="31" t="str">
        <x:v>San Jose Software Developers L1 is $152,797. Only offers from $152,797-$169,500 clear Level 1.</x:v>
      </x:c>
      <x:c r="O364" s="31" t="str">
        <x:v>San Jose, CA</x:v>
      </x:c>
      <x:c r="P364" s="31"/>
      <x:c r="Q364" s="31" t="str">
        <x:v>Hybrid, two days per week</x:v>
      </x:c>
      <x:c r="R364" s="31" t="str">
        <x:v>No sponsorship exclusion appears in this role; truthful future-sponsorship disclosure is required.</x:v>
      </x:c>
      <x:c r="S364" s="31" t="str">
        <x:v>Exceptional but wage-sensitive</x:v>
      </x:c>
      <x:c r="T364" s="31" t="str">
        <x:v>Entry-level backend role in AI analytics and agents; Java, Python, SQL/NoSQL, prompts, agent workflows and LLMOps strongly align.</x:v>
      </x:c>
      <x:c r="U364" s="31" t="str">
        <x:v>Yuxuan_Chen_Resume_Giga_Software_Engineer_AI_Agents_20260907.pdf planned</x:v>
      </x:c>
      <x:c r="V364" s="31" t="str">
        <x:v>Zoom Workday requires creation of a new employer-specific account; final account creation needs a separate action-time confirmation.</x:v>
      </x:c>
      <x:c r="W364" s="31" t="str">
        <x:v>Application opened on 2026-09-14. No existing Zoom Workday session was available. Held at account-creation step; if submitted, target compensation must be at least $152,797 for local Level 1 compatibility.</x:v>
      </x:c>
    </x:row>
    <x:row r="365">
      <x:c r="A365" s="28" t="str">
        <x:v>Auction.com</x:v>
      </x:c>
      <x:c r="B365" s="28" t="str">
        <x:v>AI Application Engineer</x:v>
      </x:c>
      <x:c r="C365" s="28" t="str">
        <x:v>https://www.linkedin.com/jobs/view/4467035450/</x:v>
      </x:c>
      <x:c r="D365" s="28" t="str">
        <x:v>https://jobs.dayforcehcm.com/en-US/auction/CANDIDATEPORTAL/jobs/9050</x:v>
      </x:c>
      <x:c r="E365" s="29" t="str">
        <x:v>2026-09-13</x:v>
      </x:c>
      <x:c r="F365" s="29" t="str">
        <x:v>2026-09-14</x:v>
      </x:c>
      <x:c r="G365" s="29" t="str">
        <x:v>2026-09-14</x:v>
      </x:c>
      <x:c r="H365" s="29"/>
      <x:c r="I365" s="28" t="str">
        <x:v>Needs input</x:v>
      </x:c>
      <x:c r="J365" s="30" t="n">
        <x:v>145000</x:v>
      </x:c>
      <x:c r="K365" s="30" t="n">
        <x:v>165000</x:v>
      </x:c>
      <x:c r="L365" s="28" t="str">
        <x:v>15-1252</x:v>
      </x:c>
      <x:c r="M365" s="28" t="str">
        <x:v>Software Developers</x:v>
      </x:c>
      <x:c r="N365" s="31" t="str">
        <x:v>Irvine is in the Los Angeles-Long Beach-Anaheim wage area, where Software Developers levels are L1 $106,787, L2 $134,202, L3 $161,637 and L4 $189,051. The full $145,000-$165,000 range clears Levels 1 and 2; offers from $161,637 clear Level 3.</x:v>
      </x:c>
      <x:c r="O365" s="31" t="str">
        <x:v>Irvine, CA</x:v>
      </x:c>
      <x:c r="P365" s="31" t="str">
        <x:v>None listed</x:v>
      </x:c>
      <x:c r="Q365" s="31" t="str">
        <x:v>On-site</x:v>
      </x:c>
      <x:c r="R365" s="31" t="str">
        <x:v>Not stated in the full official posting; the application did not ask a sponsorship question before the final submission step.</x:v>
      </x:c>
      <x:c r="S365" s="31" t="str">
        <x:v>Strong technical fit; experience-level stretch</x:v>
      </x:c>
      <x:c r="T365" s="31" t="str">
        <x:v>Python, TypeScript, LLM applications, RAG, structured outputs, tool calling, AI agents, APIs, databases, cloud services, production workflows, monitoring and MCP align directly. The stated 3+ years is the main stretch, while the candidate has substantial research and internship experience across these areas.</x:v>
      </x:c>
      <x:c r="U365" s="31" t="str">
        <x:v>Yuxuan_Chen_Resume_Giga_Software_Engineer_AI_Agents_20260907.pdf selected; upload pending</x:v>
      </x:c>
      <x:c r="V365" s="31" t="str">
        <x:v>Final Dayforce submission triggered a visual reCAPTCHA asking the user to select fire hydrants. The current browser control cannot solve or bypass CAPTCHA. Resume attachment is also pending because the file-upload widget is unsupported.</x:v>
      </x:c>
      <x:c r="W365" s="31" t="str">
        <x:v>Official description and salary reviewed. Candidate information, Massachusetts address, LinkedIn, Northeastern master's education, current Research Assistant experience and candidate acknowledgement were completed and saved on 2026-09-14. Clicking Submit opened the visual reCAPTCHA; the application has not been transmitted as submitted.</x:v>
      </x:c>
    </x:row>
    <x:row r="366">
      <x:c r="A366" s="28" t="str">
        <x:v>NVIDIA</x:v>
      </x:c>
      <x:c r="B366" s="28" t="str">
        <x:v>Software Quality Assurance Engineer - 2026 New College Grad</x:v>
      </x:c>
      <x:c r="C366" s="28" t="str">
        <x:v>https://www.linkedin.com/jobs/view/4427774553/</x:v>
      </x:c>
      <x:c r="D366" s="28" t="str">
        <x:v>https://nvidia.wd5.myworkdayjobs.com/en-US/NVIDIAExternalCareerSite/job/US-CA-Santa-Clara/Software-Quality-Assurance-Engineer---2026-New-College-Grad_JR2019924-1</x:v>
      </x:c>
      <x:c r="E366" s="29" t="str">
        <x:v>LinkedIn reposted 2026-09-12; official Workday posted 30+ days ago</x:v>
      </x:c>
      <x:c r="F366" s="29" t="str">
        <x:v>2026-09-14</x:v>
      </x:c>
      <x:c r="G366" s="29" t="str">
        <x:v>2026-09-14</x:v>
      </x:c>
      <x:c r="H366" s="29" t="str">
        <x:v>2026-09-14</x:v>
      </x:c>
      <x:c r="I366" s="28" t="str">
        <x:v>Submitted</x:v>
      </x:c>
      <x:c r="J366" s="30" t="n">
        <x:v>84000</x:v>
      </x:c>
      <x:c r="K366" s="30" t="n">
        <x:v>166750</x:v>
      </x:c>
      <x:c r="L366" s="28" t="str">
        <x:v>15-1253</x:v>
      </x:c>
      <x:c r="M366" s="28" t="str">
        <x:v>Software Quality Assurance Analysts and Testers</x:v>
      </x:c>
      <x:c r="N366" s="31" t="str">
        <x:v>The role is best aligned to 15-1253, although the employer may use a related software occupation. NVIDIA lists $84,000-$143,750 for its internal Level 1 and $100,000-$166,750 for internal Level 2. Using the more conservative San Jose Software Developers proxy, only offers from $152,797 clear Level 1; the final SOC and offer must therefore be confirmed before H-1B filing.</x:v>
      </x:c>
      <x:c r="O366" s="31" t="str">
        <x:v>Santa Clara, CA</x:v>
      </x:c>
      <x:c r="P366" s="31" t="str">
        <x:v>None listed</x:v>
      </x:c>
      <x:c r="Q366" s="31" t="str">
        <x:v>On-site</x:v>
      </x:c>
      <x:c r="R366" s="31" t="str">
        <x:v>Application explicitly asked whether employer support is required; answered Yes. NVIDIA accepted and recorded the application.</x:v>
      </x:c>
      <x:c r="S366" s="31" t="str">
        <x:v>Moderate stretch</x:v>
      </x:c>
      <x:c r="T366" s="31" t="str">
        <x:v>Graduate degree timing, Python, Linux, automation, AI tools, debugging and GPU evaluation experience align. Gaps include Windows virtualization administration, C#/C++, low-level PC architecture, memory-dump analysis and graphics APIs.</x:v>
      </x:c>
      <x:c r="U366" s="31" t="str">
        <x:v>Yuxuan_Chen_Resume_Giga_Software_Engineer_AI_Agents_20260907.pdf</x:v>
      </x:c>
      <x:c r="V366" s="31" t="str">
        <x:v>None</x:v>
      </x:c>
      <x:c r="W366" s="31" t="str">
        <x:v>Submitted successfully through NVIDIA Workday on 2026-09-14. Candidate Home shows Application Received for JR2019924. Reused the existing profile, three work experiences, Northeastern GPA 3.4, GitHub, LinkedIn, Asian/non-Hispanic, female, non-veteran and no-disability disclosures; answered legally authorized Yes and employer support required Yes.</x:v>
      </x:c>
    </x:row>
    <x:row r="367">
      <x:c r="A367" s="28" t="str">
        <x:v>Hewlett Packard Enterprise</x:v>
      </x:c>
      <x:c r="B367" s="28" t="str">
        <x:v>HPC and AI Performance Engineer</x:v>
      </x:c>
      <x:c r="C367" s="28" t="str">
        <x:v>https://www.linkedin.com/jobs/view/4466399545/</x:v>
      </x:c>
      <x:c r="D367" s="28" t="str">
        <x:v>Not opened; halted after full LinkedIn description review</x:v>
      </x:c>
      <x:c r="E367" s="29" t="str">
        <x:v>2026-09-14</x:v>
      </x:c>
      <x:c r="F367" s="29" t="str">
        <x:v>2026-09-14</x:v>
      </x:c>
      <x:c r="G367" s="29"/>
      <x:c r="H367" s="29"/>
      <x:c r="I367" s="28" t="str">
        <x:v>Halted</x:v>
      </x:c>
      <x:c r="J367" s="30" t="n">
        <x:v>105500</x:v>
      </x:c>
      <x:c r="K367" s="30" t="n">
        <x:v>243000</x:v>
      </x:c>
      <x:c r="L367" s="28" t="str">
        <x:v>15-1299</x:v>
      </x:c>
      <x:c r="M367" s="28" t="str">
        <x:v>Computer Occupations, All Other</x:v>
      </x:c>
      <x:c r="N367" s="31" t="str">
        <x:v>The Minnesota range is broad enough to include wage-compatible offers, but compensation does not cure the experience mismatch.</x:v>
      </x:c>
      <x:c r="O367" s="31" t="str">
        <x:v>Bloomington, MN</x:v>
      </x:c>
      <x:c r="P367" s="31"/>
      <x:c r="Q367" s="31" t="str">
        <x:v>Hybrid, approximately two office days per week</x:v>
      </x:c>
      <x:c r="R367" s="31" t="str">
        <x:v>Not evaluated further because the minimum qualifications are not realistic.</x:v>
      </x:c>
      <x:c r="S367" s="31" t="str">
        <x:v>Low</x:v>
      </x:c>
      <x:c r="T367" s="31" t="str">
        <x:v>The role requires typically 6-10 years plus substantial MPI, OpenMP, C/C++/Fortran, CUDA, Lustre/GPFS and large-scale HPC tuning experience.</x:v>
      </x:c>
      <x:c r="U367" s="31" t="str">
        <x:v>Not used</x:v>
      </x:c>
      <x:c r="V367" s="31" t="str">
        <x:v>None</x:v>
      </x:c>
      <x:c r="W367" s="31" t="str">
        <x:v>Halted immediately after full-description review due to the 6-10 year experience band and specialized HPC stack.</x:v>
      </x:c>
    </x:row>
    <x:row r="368">
      <x:c r="A368" s="28" t="str">
        <x:v>Accenture</x:v>
      </x:c>
      <x:c r="B368" s="28" t="str">
        <x:v>Rovo &amp; AI Prompt Engineer</x:v>
      </x:c>
      <x:c r="C368" s="28" t="str">
        <x:v>https://www.linkedin.com/jobs/view/4465708030/</x:v>
      </x:c>
      <x:c r="D368" s="28" t="str">
        <x:v>Not opened; halted after full LinkedIn description review</x:v>
      </x:c>
      <x:c r="E368" s="29" t="str">
        <x:v>2026-09-14</x:v>
      </x:c>
      <x:c r="F368" s="29" t="str">
        <x:v>2026-09-14</x:v>
      </x:c>
      <x:c r="G368" s="29"/>
      <x:c r="H368" s="29"/>
      <x:c r="I368" s="28" t="str">
        <x:v>Halted</x:v>
      </x:c>
      <x:c r="J368" s="30" t="n">
        <x:v>94400</x:v>
      </x:c>
      <x:c r="K368" s="30" t="n">
        <x:v>245000</x:v>
      </x:c>
      <x:c r="L368" s="28" t="str">
        <x:v>15-2051</x:v>
      </x:c>
      <x:c r="M368" s="28" t="str">
        <x:v>Data Scientists</x:v>
      </x:c>
      <x:c r="N368" s="31" t="str">
        <x:v>The Massachusetts range overlaps multiple wage levels, but the explicit experience requirements control the decision.</x:v>
      </x:c>
      <x:c r="O368" s="31" t="str">
        <x:v>Boston, MA</x:v>
      </x:c>
      <x:c r="P368" s="31"/>
      <x:c r="Q368" s="31" t="str">
        <x:v>Hybrid; travel may range from 0% to 100% based on client needs</x:v>
      </x:c>
      <x:c r="R368" s="31" t="str">
        <x:v>Not evaluated further because the role is not entry-level realistic.</x:v>
      </x:c>
      <x:c r="S368" s="31" t="str">
        <x:v>Low despite keyword overlap</x:v>
      </x:c>
      <x:c r="T368" s="31" t="str">
        <x:v>LLMs, RAG, agents and evaluation match technically, but the role requires 5 years in AI/ML plus multiple separate two-year enterprise client, prompt engineering, knowledge-management and agent-deployment requirements.</x:v>
      </x:c>
      <x:c r="U368" s="31" t="str">
        <x:v>Not used</x:v>
      </x:c>
      <x:c r="V368" s="31" t="str">
        <x:v>None</x:v>
      </x:c>
      <x:c r="W368" s="31" t="str">
        <x:v>Halted after full-description review because the mandatory experience requirements materially exceed the candidate's background.</x:v>
      </x:c>
    </x:row>
    <x:row r="369">
      <x:c r="A369" s="28" t="str">
        <x:v>Yara AI</x:v>
      </x:c>
      <x:c r="B369" s="28" t="str">
        <x:v>AI Engineer</x:v>
      </x:c>
      <x:c r="C369" s="28" t="str">
        <x:v>https://www.linkedin.com/jobs/view/4467037391/</x:v>
      </x:c>
      <x:c r="D369" s="28" t="str">
        <x:v>https://yara.so/jobs/yara-ai-engineer-17701630</x:v>
      </x:c>
      <x:c r="E369" s="29" t="str">
        <x:v>2026-09-14</x:v>
      </x:c>
      <x:c r="F369" s="29" t="str">
        <x:v>2026-09-14</x:v>
      </x:c>
      <x:c r="G369" s="29" t="str">
        <x:v>2026-09-14</x:v>
      </x:c>
      <x:c r="H369" s="29"/>
      <x:c r="I369" s="28" t="str">
        <x:v>Needs input</x:v>
      </x:c>
      <x:c r="J369" s="30" t="n">
        <x:v>150000</x:v>
      </x:c>
      <x:c r="K369" s="30" t="n">
        <x:v>400000</x:v>
      </x:c>
      <x:c r="L369" s="28" t="str">
        <x:v>15-1252</x:v>
      </x:c>
      <x:c r="M369" s="28" t="str">
        <x:v>Software Developers</x:v>
      </x:c>
      <x:c r="N369" s="31" t="str">
        <x:v>For a remote Massachusetts worksite, the listed $150,000 minimum exceeds the conservative Boston-area Software Developers Level 1 benchmark of $114,275. Final wage and worksite depend on the matched Yara Network company.</x:v>
      </x:c>
      <x:c r="O369" s="31" t="str">
        <x:v>Remote from Malden, MA</x:v>
      </x:c>
      <x:c r="P369" s="31" t="str">
        <x:v>San Francisco and New York preferred by some network companies</x:v>
      </x:c>
      <x:c r="Q369" s="31" t="str">
        <x:v>Remote US</x:v>
      </x:c>
      <x:c r="R369" s="31" t="str">
        <x:v>Varies by the Yara Network company and must be confirmed before placement.</x:v>
      </x:c>
      <x:c r="S369" s="31" t="str">
        <x:v>Strong technical fit</x:v>
      </x:c>
      <x:c r="T369" s="31" t="str">
        <x:v>Production LLM integrations, tools, evaluations, retrieval, TypeScript/Python/Go and agentic-project experience align closely with the candidate's research and engineering background.</x:v>
      </x:c>
      <x:c r="U369" s="31" t="str">
        <x:v>Yuxuan_Chen_Resume_Giga_Software_Engineer_AI_Agents_20260907.pdf</x:v>
      </x:c>
      <x:c r="V369" s="31" t="str">
        <x:v>None</x:v>
      </x:c>
      <x:c r="W369" s="31" t="str">
        <x:v>Submitted successfully on 2026-09-14. Yara showed 'Thank you for applying' and the role page changed to Applied. Selected remote, hybrid and on-site work setups; Remote, Boston, San Francisco, New York, Seattle and Austin locations; and future sponsorship required.</x:v>
      </x:c>
    </x:row>
    <x:row r="370">
      <x:c r="A370" s="28" t="str">
        <x:v>Micron Technology</x:v>
      </x:c>
      <x:c r="B370" s="28" t="str">
        <x:v>New College Grad - IT Software Support Engineer</x:v>
      </x:c>
      <x:c r="C370" s="28" t="str">
        <x:v>https://www.linkedin.com/jobs/view/4464508741/</x:v>
      </x:c>
      <x:c r="D370" s="28" t="str">
        <x:v>https://careers.micron.com/careers/job/44419615?utm_source=linkedin&amp;domain=micron.com&amp;src=LinkedInJobs</x:v>
      </x:c>
      <x:c r="E370" s="29" t="str">
        <x:v>2026-09-11</x:v>
      </x:c>
      <x:c r="F370" s="29" t="str">
        <x:v>2026-09-14</x:v>
      </x:c>
      <x:c r="G370" s="29" t="str">
        <x:v>2026-09-14</x:v>
      </x:c>
      <x:c r="H370" s="29" t="str">
        <x:v>2026-09-14</x:v>
      </x:c>
      <x:c r="I370" s="28" t="str">
        <x:v>Submitted</x:v>
      </x:c>
      <x:c r="J370" s="30"/>
      <x:c r="K370" s="30"/>
      <x:c r="L370" s="28" t="str">
        <x:v>15-1252</x:v>
      </x:c>
      <x:c r="M370" s="28" t="str">
        <x:v>Software Developers</x:v>
      </x:c>
      <x:c r="N370" s="31" t="str">
        <x:v>Compensation is not disclosed. The position includes application development, database work and automation, so 15-1252 is the current best-fit SOC, but Boise Level 1 compatibility cannot be verified without an offer range and the employer's final SOC selection.</x:v>
      </x:c>
      <x:c r="O370" s="31" t="str">
        <x:v>Boise, ID</x:v>
      </x:c>
      <x:c r="P370" s="31" t="str">
        <x:v>None listed</x:v>
      </x:c>
      <x:c r="Q370" s="31" t="str">
        <x:v>On-site</x:v>
      </x:c>
      <x:c r="R370" s="31" t="str">
        <x:v>The application asks whether immigration sponsorship is required; the truthful answer is Yes. Micron is a major semiconductor employer, but role-specific sponsorship is not stated in the posting.</x:v>
      </x:c>
      <x:c r="S370" s="31" t="str">
        <x:v>Strong entry-level fit</x:v>
      </x:c>
      <x:c r="T370" s="31" t="str">
        <x:v>New-college-graduate scope, Python, SQL, Linux/Windows, troubleshooting, monitoring, automation, databases and AI-assisted development align well with the candidate's background.</x:v>
      </x:c>
      <x:c r="U370" s="31" t="str">
        <x:v>Yuxuan_Chen_Resume_Giga_Software_Engineer_AI_Agents_20260907.pdf</x:v>
      </x:c>
      <x:c r="V370" s="31" t="str">
        <x:v>Micron emailed an action-required Candidate Home account-creation link on 2026-09-14 at 1:32 AM. Account creation requires a password and must be completed separately if access to Candidate Home is desired.</x:v>
      </x:c>
      <x:c r="W370" s="31" t="str">
        <x:v>Submitted successfully through Micron Eightfold on 2026-09-14. Success page displayed 'Thank you for your application, Yuxuan!' Application accurately recorded F-1 sponsorship required, lawful work verification available, Asian/non-Hispanic, female, not a veteran and no disability. Micron subsequently requested Candidate Home account creation; application submission remains confirmed.</x:v>
      </x:c>
    </x:row>
    <x:row r="371">
      <x:c r="A371" s="28" t="str">
        <x:v>University of Michigan</x:v>
      </x:c>
      <x:c r="B371" s="28" t="str">
        <x:v>Atlas Platform Developer</x:v>
      </x:c>
      <x:c r="C371" s="28" t="str">
        <x:v>https://www.linkedin.com/jobs/view/4467026025/</x:v>
      </x:c>
      <x:c r="D371" s="28" t="str">
        <x:v>https://careers.umich.edu/job_detail/282948/atlas-platform-developer</x:v>
      </x:c>
      <x:c r="E371" s="29" t="str">
        <x:v>2026-09-14</x:v>
      </x:c>
      <x:c r="F371" s="29" t="str">
        <x:v>2026-09-14</x:v>
      </x:c>
      <x:c r="G371" s="29"/>
      <x:c r="H371" s="29"/>
      <x:c r="I371" s="28" t="str">
        <x:v>Halted</x:v>
      </x:c>
      <x:c r="J371" s="30" t="n">
        <x:v>72000</x:v>
      </x:c>
      <x:c r="K371" s="30" t="n">
        <x:v>78000</x:v>
      </x:c>
      <x:c r="L371" s="28" t="str">
        <x:v>15-1252</x:v>
      </x:c>
      <x:c r="M371" s="28" t="str">
        <x:v>Software Developers</x:v>
      </x:c>
      <x:c r="N371" s="31" t="str">
        <x:v>The $72,000-$78,000 range is too low for a conservative Software Developers Level 1 comparison and leaves no room to cure the H-1B wage issue.</x:v>
      </x:c>
      <x:c r="O371" s="31" t="str">
        <x:v>Ann Arbor, MI</x:v>
      </x:c>
      <x:c r="P371" s="31"/>
      <x:c r="Q371" s="31" t="str">
        <x:v>Hybrid; four days per week on-site</x:v>
      </x:c>
      <x:c r="R371" s="31" t="str">
        <x:v>Posting only states that candidates must have U.S. work authorization; sponsorship is not offered or confirmed.</x:v>
      </x:c>
      <x:c r="S371" s="31" t="str">
        <x:v>Moderate technical fit; compensation incompatible</x:v>
      </x:c>
      <x:c r="T371" s="31" t="str">
        <x:v>Python/Django, TypeScript/Vue, REST APIs, PostgreSQL and full-stack work align reasonably, but the one-year term and low fixed salary range conflict with the visa/wage strategy.</x:v>
      </x:c>
      <x:c r="U371" s="31" t="str">
        <x:v>Not used</x:v>
      </x:c>
      <x:c r="V371" s="31" t="str">
        <x:v>None</x:v>
      </x:c>
      <x:c r="W371" s="31" t="str">
        <x:v>Halted after full-description review because the published salary range is not H-1B Level 1 compatible. The employer also requires a combined resume and two-page cover letter file.</x:v>
      </x:c>
    </x:row>
    <x:row r="372">
      <x:c r="A372" s="28" t="str">
        <x:v>MassMutual</x:v>
      </x:c>
      <x:c r="B372" s="28" t="str">
        <x:v>AI Platform Engineer</x:v>
      </x:c>
      <x:c r="C372" s="28" t="str">
        <x:v>https://www.linkedin.com/jobs/view/4465723049/</x:v>
      </x:c>
      <x:c r="D372" s="28" t="str">
        <x:v>Not opened; halted after full LinkedIn description review</x:v>
      </x:c>
      <x:c r="E372" s="29" t="str">
        <x:v>2026-09-14</x:v>
      </x:c>
      <x:c r="F372" s="29" t="str">
        <x:v>2026-09-14</x:v>
      </x:c>
      <x:c r="G372" s="29"/>
      <x:c r="H372" s="29"/>
      <x:c r="I372" s="28" t="str">
        <x:v>Halted</x:v>
      </x:c>
      <x:c r="J372" s="30"/>
      <x:c r="K372" s="30"/>
      <x:c r="L372" s="28" t="str">
        <x:v>15-1244</x:v>
      </x:c>
      <x:c r="M372" s="28" t="str">
        <x:v>Network and Computer Systems Administrators</x:v>
      </x:c>
      <x:c r="N372" s="31" t="str">
        <x:v>No compensation range was disclosed; wage compatibility was not evaluated further because the mandatory seniority requirements are disqualifying.</x:v>
      </x:c>
      <x:c r="O372" s="31" t="str">
        <x:v>Springfield, MA</x:v>
      </x:c>
      <x:c r="P372" s="31"/>
      <x:c r="Q372" s="31" t="str">
        <x:v>On-site</x:v>
      </x:c>
      <x:c r="R372" s="31" t="str">
        <x:v>Not evaluated further because the role is staff/lead level.</x:v>
      </x:c>
      <x:c r="S372" s="31" t="str">
        <x:v>Low</x:v>
      </x:c>
      <x:c r="T372" s="31" t="str">
        <x:v>Requires 5+ years in platform/infrastructure/SRE, 3+ years cloud-native architecture, 3+ years leading complex platform programs and CKA/CKAD or equivalent AWS certifications.</x:v>
      </x:c>
      <x:c r="U372" s="31" t="str">
        <x:v>Not used</x:v>
      </x:c>
      <x:c r="V372" s="31" t="str">
        <x:v>None</x:v>
      </x:c>
      <x:c r="W372" s="31" t="str">
        <x:v>Halted immediately after full-description review due to explicit staff-level experience and certification requirements.</x:v>
      </x:c>
    </x:row>
    <x:row r="373">
      <x:c r="A373" s="28" t="str">
        <x:v>ActAI</x:v>
      </x:c>
      <x:c r="B373" s="28" t="str">
        <x:v>Machine Learning Platform Engineer</x:v>
      </x:c>
      <x:c r="C373" s="28" t="str">
        <x:v>https://www.linkedin.com/jobs/view/4465732045/</x:v>
      </x:c>
      <x:c r="D373" s="28" t="str">
        <x:v>https://jobs.ashbyhq.com/bjakcareer/bdc9f0e0-5fff-4689-b047-fb7c43fa0510/application</x:v>
      </x:c>
      <x:c r="E373" s="29" t="str">
        <x:v>2026-09-14</x:v>
      </x:c>
      <x:c r="F373" s="29" t="str">
        <x:v>2026-09-14</x:v>
      </x:c>
      <x:c r="G373" s="29" t="str">
        <x:v>2026-09-14</x:v>
      </x:c>
      <x:c r="H373" s="29" t="str">
        <x:v>2026-09-14</x:v>
      </x:c>
      <x:c r="I373" s="28" t="str">
        <x:v>Submitted</x:v>
      </x:c>
      <x:c r="J373" s="30"/>
      <x:c r="K373" s="30"/>
      <x:c r="L373" s="28" t="str">
        <x:v>15-2051</x:v>
      </x:c>
      <x:c r="M373" s="28" t="str">
        <x:v>Data Scientists</x:v>
      </x:c>
      <x:c r="N373" s="31" t="str">
        <x:v>Remote U.S. worksite and compensation are undisclosed, so the location-specific Level 1 comparison must be confirmed before accepting an offer.</x:v>
      </x:c>
      <x:c r="O373" s="31" t="str">
        <x:v>Remote from Malden, MA</x:v>
      </x:c>
      <x:c r="P373" s="31" t="str">
        <x:v>United States</x:v>
      </x:c>
      <x:c r="Q373" s="31" t="str">
        <x:v>Remote</x:v>
      </x:c>
      <x:c r="R373" s="31" t="str">
        <x:v>Application asks whether a work visa is needed; truthful answer is Yes. The candidate previously submitted another ActAI role through the same employer portal.</x:v>
      </x:c>
      <x:c r="S373" s="31" t="str">
        <x:v>Strong</x:v>
      </x:c>
      <x:c r="T373" s="31" t="str">
        <x:v>Python, vLLM, cloud/GPU infrastructure, inference performance, evaluation, benchmarking, observability, data pipelines and reproducible experimentation directly match the candidate's RA and internship experience.</x:v>
      </x:c>
      <x:c r="U373" s="31" t="str">
        <x:v>Yuxuan_Chen_Resume_Giga_Software_Engineer_AI_Agents_20260907.pdf</x:v>
      </x:c>
      <x:c r="V373" s="31" t="str">
        <x:v>None</x:v>
      </x:c>
      <x:c r="W373" s="31" t="str">
        <x:v>Submitted successfully through Bjak/Ashby on 2026-09-14. Used the AI/agents resume, disclosed work-visa need, selected contributed to deployed ML systems, production shipping preference, direct AI-system deployment experience and professional/fluent English.</x:v>
      </x:c>
    </x:row>
    <x:row r="374">
      <x:c r="A374" s="28" t="str">
        <x:v>Wispr Flow</x:v>
      </x:c>
      <x:c r="B374" s="28" t="str">
        <x:v>Forward Deployed Engineer</x:v>
      </x:c>
      <x:c r="C374" s="28" t="str">
        <x:v>https://www.linkedin.com/jobs/view/4467011070/</x:v>
      </x:c>
      <x:c r="D374" s="28" t="str">
        <x:v>https://jobs.ashbyhq.com/wispr-flow/a093f7f3-d472-4f5e-bf88-96493915960a/application</x:v>
      </x:c>
      <x:c r="E374" s="29" t="str">
        <x:v>2026-09-14</x:v>
      </x:c>
      <x:c r="F374" s="29" t="str">
        <x:v>2026-09-14</x:v>
      </x:c>
      <x:c r="G374" s="29" t="str">
        <x:v>2026-09-14</x:v>
      </x:c>
      <x:c r="H374" s="29" t="str">
        <x:v>2026-09-14</x:v>
      </x:c>
      <x:c r="I374" s="28" t="str">
        <x:v>Submitted</x:v>
      </x:c>
      <x:c r="J374" s="30" t="n">
        <x:v>180000</x:v>
      </x:c>
      <x:c r="K374" s="30" t="n">
        <x:v>350000</x:v>
      </x:c>
      <x:c r="L374" s="28" t="str">
        <x:v>15-1252</x:v>
      </x:c>
      <x:c r="M374" s="28" t="str">
        <x:v>Software Developers</x:v>
      </x:c>
      <x:c r="N374" s="31" t="str">
        <x:v>San Francisco Software Developers Level 1 is $137,093. The entire $180,000-$350,000 range clears Level 1 and offers room above higher wage levels.</x:v>
      </x:c>
      <x:c r="O374" s="31" t="str">
        <x:v>San Francisco, CA</x:v>
      </x:c>
      <x:c r="P374" s="31" t="str">
        <x:v>Remote US</x:v>
      </x:c>
      <x:c r="Q374" s="31" t="str">
        <x:v>On-site preferred; remote US listed</x:v>
      </x:c>
      <x:c r="R374" s="31" t="str">
        <x:v>Posting explicitly states sponsorship support for H-1B, O-1, EB-1, L-1 and STEM OPT, subject to role and offer review.</x:v>
      </x:c>
      <x:c r="S374" s="31" t="str">
        <x:v>Moderate stretch with strong immigration compatibility</x:v>
      </x:c>
      <x:c r="T374" s="31" t="str">
        <x:v>APIs, integrations, identity, data, debugging, full-stack ownership and real-time customer communication align. The L4 mid-level band and direct customer deployment expectation are the main stretches; no fixed years minimum is stated.</x:v>
      </x:c>
      <x:c r="U374" s="31" t="str">
        <x:v>Yuxuan_Chen_Resume_Giga_Software_Engineer_AI_Agents_20260907.pdf</x:v>
      </x:c>
      <x:c r="V374" s="31" t="str">
        <x:v>None</x:v>
      </x:c>
      <x:c r="W374" s="31" t="str">
        <x:v>Submitted successfully through Ashby on 2026-09-14; confirmation stated the application was successfully submitted. Included fact-based GEO platform achievement and Wispr-specific motivation answers, relocation willingness and current work authorization. The optional video link was omitted.</x:v>
      </x:c>
    </x:row>
    <x:row r="375">
      <x:c r="A375" s="28" t="str">
        <x:v>Torc Robotics</x:v>
      </x:c>
      <x:c r="B375" s="28" t="str">
        <x:v>Software Engineer, I - Data Engineering</x:v>
      </x:c>
      <x:c r="C375" s="28" t="str">
        <x:v>https://www.linkedin.com/jobs/view/4464735493/</x:v>
      </x:c>
      <x:c r="D375" s="28" t="str">
        <x:v>https://job-boards.greenhouse.io/torcrobotics/jobs/8649372002</x:v>
      </x:c>
      <x:c r="E375" s="29" t="str">
        <x:v>2026-09-14</x:v>
      </x:c>
      <x:c r="F375" s="29" t="str">
        <x:v>2026-09-14</x:v>
      </x:c>
      <x:c r="G375" s="29" t="str">
        <x:v>2026-09-14</x:v>
      </x:c>
      <x:c r="H375" s="29"/>
      <x:c r="I375" s="28" t="str">
        <x:v>Needs input</x:v>
      </x:c>
      <x:c r="J375" s="30" t="n">
        <x:v>114400</x:v>
      </x:c>
      <x:c r="K375" s="30" t="n">
        <x:v>137300</x:v>
      </x:c>
      <x:c r="L375" s="28" t="str">
        <x:v>15-1252</x:v>
      </x:c>
      <x:c r="M375" s="28" t="str">
        <x:v>Software Developers</x:v>
      </x:c>
      <x:c r="N375" s="31" t="str">
        <x:v>The $114,400-$137,300 range clears the Software Developers Level 1 benchmark for the selected worksite strategy. Confirm the final worksite and prevailing wage before accepting an offer.</x:v>
      </x:c>
      <x:c r="O375" s="31" t="str">
        <x:v>Ann Arbor, MI</x:v>
      </x:c>
      <x:c r="P375" s="31" t="str">
        <x:v>Blacksburg, VA</x:v>
      </x:c>
      <x:c r="Q375" s="31" t="str">
        <x:v>Distributed/remote-first team; official role locations are Ann Arbor, MI and Blacksburg, VA</x:v>
      </x:c>
      <x:c r="R375" s="31" t="str">
        <x:v>The application explicitly asks about present or future employment-visa sponsorship; truthful answer is Yes. The posting does not promise sponsorship.</x:v>
      </x:c>
      <x:c r="S375" s="31" t="str">
        <x:v>Strong</x:v>
      </x:c>
      <x:c r="T375" s="31" t="str">
        <x:v>Python, Docker, Linux, cloud data pipelines, ML training infrastructure, data validation, CI/CD, monitoring and AWS-oriented services align closely with the candidate's research and internship experience.</x:v>
      </x:c>
      <x:c r="U375" s="31" t="str">
        <x:v>Yuxuan_Chen_Resume_Giga_Software_Engineer_AI_Agents_20260907.pdf</x:v>
      </x:c>
      <x:c r="V375" s="31" t="str">
        <x:v>The official Greenhouse form is substantially completed, but its protected email and phone fields reject automated input; those two fields must be entered in the visible browser before final validation and submission.</x:v>
      </x:c>
      <x:c r="W375" s="31" t="str">
        <x:v>Official employer and application URL verified. LinkedIn intermediary incorrectly labeled the role as fully remote; the official posting lists Ann Arbor and Blacksburg. On 2026-09-21 the form was populated with name, Malden MA location, tailored AI resume, LinkedIn/GitHub, LinkedIn source, 2027-02-18 start date, posted-range salary expectation, work authorization Yes, sponsorship Yes, Ann Arbor local No, export-control None, restrictive agreement No, relatives No, and N/A country detail. Final submission remains technically blocked by protected contact fields and final form validation.</x:v>
      </x:c>
    </x:row>
    <x:row r="376">
      <x:c r="A376" s="28" t="str">
        <x:v>Perplexity</x:v>
      </x:c>
      <x:c r="B376" s="28" t="str">
        <x:v>Member of Technical Staff (General Software Engineer, Infrastructure)</x:v>
      </x:c>
      <x:c r="C376" s="28" t="str">
        <x:v>https://www.linkedin.com/jobs/view/4465723087/</x:v>
      </x:c>
      <x:c r="D376" s="28" t="str">
        <x:v>https://jobs.ashbyhq.com/Perplexity/76c9b39f-aecc-4247-b5f5-ebcd02dff7c3/application</x:v>
      </x:c>
      <x:c r="E376" s="29" t="str">
        <x:v>2026-09-14</x:v>
      </x:c>
      <x:c r="F376" s="29" t="str">
        <x:v>2026-09-14</x:v>
      </x:c>
      <x:c r="G376" s="29"/>
      <x:c r="H376" s="29"/>
      <x:c r="I376" s="28" t="str">
        <x:v>Halted</x:v>
      </x:c>
      <x:c r="J376" s="30" t="n">
        <x:v>220000</x:v>
      </x:c>
      <x:c r="K376" s="30" t="n">
        <x:v>405000</x:v>
      </x:c>
      <x:c r="L376" s="28" t="str">
        <x:v>15-1252</x:v>
      </x:c>
      <x:c r="M376" s="28" t="str">
        <x:v>Software Developers</x:v>
      </x:c>
      <x:c r="N376" s="31" t="str">
        <x:v>The published range is comfortably above Level 1; compensation is not the disqualifying factor.</x:v>
      </x:c>
      <x:c r="O376" s="31" t="str">
        <x:v>Austin, TX</x:v>
      </x:c>
      <x:c r="P376" s="31"/>
      <x:c r="Q376" s="31" t="str">
        <x:v>Hybrid</x:v>
      </x:c>
      <x:c r="R376" s="31" t="str">
        <x:v>Not evaluated further because the explicit seniority requirements are disqualifying.</x:v>
      </x:c>
      <x:c r="S376" s="31" t="str">
        <x:v>Low due to seniority</x:v>
      </x:c>
      <x:c r="T376" s="31" t="str">
        <x:v>Requires 4+ years of professional production infrastructure experience, ownership of complex systems, cross-team technical direction and mentorship. This is materially beyond the candidate's current early-career profile.</x:v>
      </x:c>
      <x:c r="U376" s="31" t="str">
        <x:v>Not used</x:v>
      </x:c>
      <x:c r="V376" s="31" t="str">
        <x:v>None</x:v>
      </x:c>
      <x:c r="W376" s="31" t="str">
        <x:v>Halted immediately after full-description review; no data transmitted.</x:v>
      </x:c>
    </x:row>
    <x:row r="377">
      <x:c r="A377" s="28" t="str">
        <x:v>Torc Robotics</x:v>
      </x:c>
      <x:c r="B377" s="28" t="str">
        <x:v>ML Engineer, I - MLOps Framework</x:v>
      </x:c>
      <x:c r="C377" s="28" t="str">
        <x:v>Not located; discovered on the official Torc job board</x:v>
      </x:c>
      <x:c r="D377" s="28" t="str">
        <x:v>https://job-boards.greenhouse.io/torcrobotics/jobs/8728723002</x:v>
      </x:c>
      <x:c r="E377" s="29" t="str">
        <x:v>2026-09-14</x:v>
      </x:c>
      <x:c r="F377" s="29" t="str">
        <x:v>2026-09-14</x:v>
      </x:c>
      <x:c r="G377" s="29" t="str">
        <x:v>2026-09-14</x:v>
      </x:c>
      <x:c r="H377" s="29"/>
      <x:c r="I377" s="28" t="str">
        <x:v>Needs input</x:v>
      </x:c>
      <x:c r="J377" s="30" t="n">
        <x:v>132400</x:v>
      </x:c>
      <x:c r="K377" s="30" t="n">
        <x:v>158900</x:v>
      </x:c>
      <x:c r="L377" s="28" t="str">
        <x:v>15-2051</x:v>
      </x:c>
      <x:c r="M377" s="28" t="str">
        <x:v>Data Scientists</x:v>
      </x:c>
      <x:c r="N377" s="31" t="str">
        <x:v>The $132,400-$158,900 nationwide remote range clears the candidate's Level 1 strategy for the likely Massachusetts worksite and provides substantial room above it; final LCA worksite should be confirmed at offer stage.</x:v>
      </x:c>
      <x:c r="O377" s="31" t="str">
        <x:v>Remote from Malden, MA</x:v>
      </x:c>
      <x:c r="P377" s="31" t="str">
        <x:v>Remote - US</x:v>
      </x:c>
      <x:c r="Q377" s="31" t="str">
        <x:v>Remote</x:v>
      </x:c>
      <x:c r="R377" s="31" t="str">
        <x:v>The application explicitly asks about current or future visa sponsorship; truthful answer is Yes. The posting does not promise sponsorship.</x:v>
      </x:c>
      <x:c r="S377" s="31" t="str">
        <x:v>Very strong</x:v>
      </x:c>
      <x:c r="T377" s="31" t="str">
        <x:v>The role targets 0-3+ years and directly matches Python, ML pipelines, MLOps, CI/CD, monitoring, logging, orchestration, distributed compute, AWS and debugging experience. PyTorch depth is the main modest gap.</x:v>
      </x:c>
      <x:c r="U377" s="31" t="str">
        <x:v>Yuxuan_Chen_Resume_Giga_Software_Engineer_AI_Agents_20260907.pdf</x:v>
      </x:c>
      <x:c r="V377" s="31" t="str">
        <x:v>The official Greenhouse form is substantially completed, but its protected email and phone fields reject automated input; those two fields must be entered in the visible browser before final validation and submission.</x:v>
      </x:c>
      <x:c r="W377" s="31" t="str">
        <x:v>Official Torc role ID 102940. On 2026-09-21 the form was populated with name, Malden MA location, tailored AI resume, LinkedIn/GitHub, LinkedIn source, 2027-02-18 start date, posted-range salary expectation, work authorization Yes, sponsorship Yes, export-control None, restrictive agreement No, relatives No, N/A country detail, and voluntary demographics. Final submission remains technically blocked by protected contact fields and final form validation.</x:v>
      </x:c>
    </x:row>
    <x:row r="378">
      <x:c r="A378" s="28" t="str">
        <x:v>American Airlines</x:v>
      </x:c>
      <x:c r="B378" s="28" t="str">
        <x:v>Sr Associate Engineer/Engineer, IT Software</x:v>
      </x:c>
      <x:c r="C378" s="28" t="str">
        <x:v>https://www.linkedin.com/jobs/view/4463919308/</x:v>
      </x:c>
      <x:c r="D378" s="28" t="str">
        <x:v>https://jobs.aa.com/job/Fort-Worth-Sr-Associate-EngineerEngineer%252C-IT-Software-TX-76101/1428741200/</x:v>
      </x:c>
      <x:c r="E378" s="29" t="str">
        <x:v>2026-09-10</x:v>
      </x:c>
      <x:c r="F378" s="29" t="str">
        <x:v>2026-09-14</x:v>
      </x:c>
      <x:c r="G378" s="29" t="str">
        <x:v>2026-09-14</x:v>
      </x:c>
      <x:c r="H378" s="29"/>
      <x:c r="I378" s="28" t="str">
        <x:v>Halted</x:v>
      </x:c>
      <x:c r="J378" s="30" t="n">
        <x:v>85000</x:v>
      </x:c>
      <x:c r="K378" s="30" t="n">
        <x:v>100000</x:v>
      </x:c>
      <x:c r="L378" s="28" t="str">
        <x:v>15-1252</x:v>
      </x:c>
      <x:c r="M378" s="28" t="str">
        <x:v>Software Developers</x:v>
      </x:c>
      <x:c r="N378" s="31" t="str">
        <x:v>Dallas-Fort Worth Software Developers Level 1 is $95,202. The employer does not disclose pay; a third-party estimate of $85,000-$100,000 only partially clears Level 1. Historical 2025-2026 American Airlines Engineer, IT Software H-1B filings near $112,923 clear Level 1, so this is retained below the fully compatible Torc roles and requires a qualifying offer.</x:v>
      </x:c>
      <x:c r="O378" s="31" t="str">
        <x:v>Fort Worth, TX</x:v>
      </x:c>
      <x:c r="P378" s="31"/>
      <x:c r="Q378" s="31" t="str">
        <x:v>On-site</x:v>
      </x:c>
      <x:c r="R378" s="31" t="str">
        <x:v>The posting does not state sponsorship. Recent American Airlines H-1B filing history includes Engineer, IT Software roles in Fort Worth, but past filings do not guarantee sponsorship for this requisition.</x:v>
      </x:c>
      <x:c r="S378" s="31" t="str">
        <x:v>Strong technical fit; lower-priority wage uncertainty</x:v>
      </x:c>
      <x:c r="T378" s="31" t="str">
        <x:v>Requires 1+ year and aligns closely with Python, TypeScript, React, FastAPI, Docker, PostgreSQL, REST APIs, AWS, CI/CD, observability, testing and Playwright.</x:v>
      </x:c>
      <x:c r="U378" s="31" t="str">
        <x:v>Yuxuan_Chen_Resume_Salesforce_Software_Engineering_AMTS_20260907.pdf</x:v>
      </x:c>
      <x:c r="V378" s="31" t="str">
        <x:v>None</x:v>
      </x:c>
      <x:c r="W378" s="31" t="str">
        <x:v>Official requisition 87834. Rechecked on 2026-09-21; the American Airlines careers page states the job is no longer available, so no application can be submitted.</x:v>
      </x:c>
    </x:row>
    <x:row r="379">
      <x:c r="A379" s="28" t="str">
        <x:v>Munich Re</x:v>
      </x:c>
      <x:c r="B379" s="28" t="str">
        <x:v>Software Engineer, US Life (2027 Permanent)</x:v>
      </x:c>
      <x:c r="C379" s="28" t="str">
        <x:v>https://www.linkedin.com/jobs/view/4466416625/</x:v>
      </x:c>
      <x:c r="D379" s="28" t="str">
        <x:v>https://careers.munichre.com/en/job/new-york/software-engineer-us-life-2027-permanent/3342/44485912576</x:v>
      </x:c>
      <x:c r="E379" s="29" t="str">
        <x:v>2026-09-13</x:v>
      </x:c>
      <x:c r="F379" s="29" t="str">
        <x:v>2026-09-14</x:v>
      </x:c>
      <x:c r="G379" s="29"/>
      <x:c r="H379" s="29"/>
      <x:c r="I379" s="28" t="str">
        <x:v>Halted</x:v>
      </x:c>
      <x:c r="J379" s="30" t="n">
        <x:v>125000</x:v>
      </x:c>
      <x:c r="K379" s="30" t="n">
        <x:v>145000</x:v>
      </x:c>
      <x:c r="L379" s="28" t="str">
        <x:v>15-1252</x:v>
      </x:c>
      <x:c r="M379" s="28" t="str">
        <x:v>Software Developers</x:v>
      </x:c>
      <x:c r="N379" s="31" t="str">
        <x:v>The New York range must be weighed against the local prevailing wage, but sponsorship incompatibility independently disqualifies the role.</x:v>
      </x:c>
      <x:c r="O379" s="31" t="str">
        <x:v>New York, NY</x:v>
      </x:c>
      <x:c r="P379" s="31"/>
      <x:c r="Q379" s="31" t="str">
        <x:v>Hybrid</x:v>
      </x:c>
      <x:c r="R379" s="31" t="str">
        <x:v>Explicitly requires permanent U.S. work authorization without current or future sponsorship and specifically excludes OPT and CPT candidates.</x:v>
      </x:c>
      <x:c r="S379" s="31" t="str">
        <x:v>Exceptional technical fit; work authorization incompatible</x:v>
      </x:c>
      <x:c r="T379" s="31" t="str">
        <x:v>Python/FastAPI, React/TypeScript, PostgreSQL, multi-tenant workflows, CI/CD, observability and agentic development strongly match, but the explicit OPT/sponsorship exclusion is disqualifying.</x:v>
      </x:c>
      <x:c r="U379" s="31" t="str">
        <x:v>Not used</x:v>
      </x:c>
      <x:c r="V379" s="31" t="str">
        <x:v>None</x:v>
      </x:c>
      <x:c r="W379" s="31" t="str">
        <x:v>Halted immediately after full-description review; no application data transmitted.</x:v>
      </x:c>
    </x:row>
    <x:row r="380">
      <x:c r="A380" s="28" t="str">
        <x:v>AutoStore</x:v>
      </x:c>
      <x:c r="B380" s="28" t="str">
        <x:v>Entry Level Software Engineer</x:v>
      </x:c>
      <x:c r="C380" s="28" t="str">
        <x:v>https://www.linkedin.com/jobs/view/4465482277/</x:v>
      </x:c>
      <x:c r="D380" s="28" t="str">
        <x:v>https://autostore.wd3.myworkdayjobs.com/autostore/job/Atlanta-GA-USA/Entry-Level-Software-Engineer_JR102691</x:v>
      </x:c>
      <x:c r="E380" s="29" t="str">
        <x:v>2026-09-14</x:v>
      </x:c>
      <x:c r="F380" s="29" t="str">
        <x:v>2026-09-14</x:v>
      </x:c>
      <x:c r="G380" s="29"/>
      <x:c r="H380" s="29"/>
      <x:c r="I380" s="28" t="str">
        <x:v>Halted</x:v>
      </x:c>
      <x:c r="J380" s="30"/>
      <x:c r="K380" s="30"/>
      <x:c r="L380" s="28" t="str">
        <x:v>15-1252</x:v>
      </x:c>
      <x:c r="M380" s="28" t="str">
        <x:v>Software Developers</x:v>
      </x:c>
      <x:c r="N380" s="31" t="str">
        <x:v>No salary was disclosed; the explicit visa-support exclusion independently disqualifies the role.</x:v>
      </x:c>
      <x:c r="O380" s="31" t="str">
        <x:v>Atlanta, GA</x:v>
      </x:c>
      <x:c r="P380" s="31"/>
      <x:c r="Q380" s="31" t="str">
        <x:v>On-site</x:v>
      </x:c>
      <x:c r="R380" s="31" t="str">
        <x:v>Posting explicitly states that candidates must not require visa support to work in the United States.</x:v>
      </x:c>
      <x:c r="S380" s="31" t="str">
        <x:v>Strong technical fit; sponsorship incompatible</x:v>
      </x:c>
      <x:c r="T380" s="31" t="str">
        <x:v>The 0-2 year target plus Python/TypeScript/Java, APIs, PostgreSQL, cloud, distributed systems and observability align well, but future H-1B support is unavailable.</x:v>
      </x:c>
      <x:c r="U380" s="31" t="str">
        <x:v>Not used</x:v>
      </x:c>
      <x:c r="V380" s="31" t="str">
        <x:v>None</x:v>
      </x:c>
      <x:c r="W380" s="31" t="str">
        <x:v>Halted immediately after full-description review; no application data transmitted.</x:v>
      </x:c>
    </x:row>
    <x:row r="381">
      <x:c r="A381" s="28" t="str">
        <x:v>Ericsson</x:v>
      </x:c>
      <x:c r="B381" s="28" t="str">
        <x:v>Integration Engineer (Early Career)</x:v>
      </x:c>
      <x:c r="C381" s="28" t="str">
        <x:v>https://www.linkedin.com/jobs/view/4441358601/</x:v>
      </x:c>
      <x:c r="D381" s="28" t="str">
        <x:v>https://jobs.ericsson.com/careers/job/563121776514290</x:v>
      </x:c>
      <x:c r="E381" s="29" t="str">
        <x:v>Reposted 2026-09-13</x:v>
      </x:c>
      <x:c r="F381" s="29" t="str">
        <x:v>2026-09-14</x:v>
      </x:c>
      <x:c r="G381" s="29"/>
      <x:c r="H381" s="29"/>
      <x:c r="I381" s="28" t="str">
        <x:v>Halted</x:v>
      </x:c>
      <x:c r="J381" s="30"/>
      <x:c r="K381" s="30"/>
      <x:c r="L381" s="28" t="str">
        <x:v>15-1244</x:v>
      </x:c>
      <x:c r="M381" s="28" t="str">
        <x:v>Network and Computer Systems Administrators</x:v>
      </x:c>
      <x:c r="N381" s="31" t="str">
        <x:v>No salary range was disclosed; work-authorization and experience requirements independently disqualify the role.</x:v>
      </x:c>
      <x:c r="O381" s="31" t="str">
        <x:v>Plano, TX</x:v>
      </x:c>
      <x:c r="P381" s="31"/>
      <x:c r="Q381" s="31" t="str">
        <x:v>On-site</x:v>
      </x:c>
      <x:c r="R381" s="31" t="str">
        <x:v>Ericsson explicitly states no H-1B or other visa sponsorship and no hiring of F-1 candidates working on CPT or EAD for this position.</x:v>
      </x:c>
      <x:c r="S381" s="31" t="str">
        <x:v>Low; sponsorship and seniority incompatible</x:v>
      </x:c>
      <x:c r="T381" s="31" t="str">
        <x:v>Despite the early-career label, the role requires 4+ years of IT experience and 2+ years of cloud integration plus deep telecom/network infrastructure knowledge.</x:v>
      </x:c>
      <x:c r="U381" s="31" t="str">
        <x:v>Not used</x:v>
      </x:c>
      <x:c r="V381" s="31" t="str">
        <x:v>None</x:v>
      </x:c>
      <x:c r="W381" s="31" t="str">
        <x:v>Halted immediately after full-description review; no application data transmitted.</x:v>
      </x:c>
    </x:row>
    <x:row r="382">
      <x:c r="A382" s="28" t="str">
        <x:v>General Motors</x:v>
      </x:c>
      <x:c r="B382" s="28" t="str">
        <x:v>Machine Learning Engineer, AI Inference Solutions (Early in Career)</x:v>
      </x:c>
      <x:c r="C382" s="28" t="str">
        <x:v>https://www.linkedin.com/jobs/view/4454312270/</x:v>
      </x:c>
      <x:c r="D382" s="28" t="str">
        <x:v>https://generalmotors.wd5.myworkdayjobs.com/Careers_GM/job/Sunnyvale-California-United-States-of-America/Machine-Learning-Engineer--AI-Inference-Solutions--University-Grad-_JR-202610103</x:v>
      </x:c>
      <x:c r="E382" s="29" t="str">
        <x:v>Reposted 2026-09-13</x:v>
      </x:c>
      <x:c r="F382" s="29" t="str">
        <x:v>2026-09-14</x:v>
      </x:c>
      <x:c r="G382" s="29"/>
      <x:c r="H382" s="29"/>
      <x:c r="I382" s="28" t="str">
        <x:v>Halted</x:v>
      </x:c>
      <x:c r="J382" s="30" t="n">
        <x:v>119250</x:v>
      </x:c>
      <x:c r="K382" s="30" t="n">
        <x:v>150850</x:v>
      </x:c>
      <x:c r="L382" s="28" t="str">
        <x:v>15-2051</x:v>
      </x:c>
      <x:c r="M382" s="28" t="str">
        <x:v>Data Scientists</x:v>
      </x:c>
      <x:c r="N382" s="31" t="str">
        <x:v>The range requires a separate Sunnyvale Level 1 comparison, but graduation timing independently disqualifies the candidate.</x:v>
      </x:c>
      <x:c r="O382" s="31" t="str">
        <x:v>Sunnyvale, CA</x:v>
      </x:c>
      <x:c r="P382" s="31"/>
      <x:c r="Q382" s="31" t="str">
        <x:v>Hybrid, at least 3 days onsite</x:v>
      </x:c>
      <x:c r="R382" s="31" t="str">
        <x:v>Not stated in the visible posting; not evaluated further because the required graduation window is incompatible.</x:v>
      </x:c>
      <x:c r="S382" s="31" t="str">
        <x:v>Exceptional technical fit; graduation timing incompatible</x:v>
      </x:c>
      <x:c r="T382" s="31" t="str">
        <x:v>vLLM, inference benchmarking, ML deployment, agentic tooling, Python, distributed systems and model evaluation align exceptionally well. However, GM requires degree completion by Spring/August 2026, while the candidate graduates in December 2026.</x:v>
      </x:c>
      <x:c r="U382" s="31" t="str">
        <x:v>Not used</x:v>
      </x:c>
      <x:c r="V382" s="31" t="str">
        <x:v>None</x:v>
      </x:c>
      <x:c r="W382" s="31" t="str">
        <x:v>Halted after full-description review because the fixed degree-completion window ends before the candidate's graduation. No application data transmitted.</x:v>
      </x:c>
    </x:row>
    <x:row r="383">
      <x:c r="A383" s="28" t="str">
        <x:v>MassMutual</x:v>
      </x:c>
      <x:c r="B383" s="28" t="str">
        <x:v>AI Engineer</x:v>
      </x:c>
      <x:c r="C383" s="28" t="str">
        <x:v>https://www.linkedin.com/jobs/view/4465728120/</x:v>
      </x:c>
      <x:c r="D383" s="28" t="str">
        <x:v>https://linkedin.sonicapply.com/us/linkedin/6aa7591145529ac8771c6beb</x:v>
      </x:c>
      <x:c r="E383" s="29" t="str">
        <x:v>2026-09-14</x:v>
      </x:c>
      <x:c r="F383" s="29" t="str">
        <x:v>2026-09-14</x:v>
      </x:c>
      <x:c r="G383" s="29"/>
      <x:c r="H383" s="29"/>
      <x:c r="I383" s="28" t="str">
        <x:v>Halted</x:v>
      </x:c>
      <x:c r="J383" s="30"/>
      <x:c r="K383" s="30"/>
      <x:c r="L383" s="28" t="str">
        <x:v>15-2051</x:v>
      </x:c>
      <x:c r="M383" s="28" t="str">
        <x:v>Data Scientists</x:v>
      </x:c>
      <x:c r="N383" s="31" t="str">
        <x:v>No salary range was disclosed; the explicit seniority requirement is independently disqualifying.</x:v>
      </x:c>
      <x:c r="O383" s="31" t="str">
        <x:v>Boston, MA</x:v>
      </x:c>
      <x:c r="P383" s="31"/>
      <x:c r="Q383" s="31" t="str">
        <x:v>Hybrid, 3 days per week onsite</x:v>
      </x:c>
      <x:c r="R383" s="31" t="str">
        <x:v>Not evaluated further because the mandatory seniority requirement is disqualifying.</x:v>
      </x:c>
      <x:c r="S383" s="31" t="str">
        <x:v>Strong technical overlap; seniority incompatible</x:v>
      </x:c>
      <x:c r="T383" s="31" t="str">
        <x:v>Agentic AI, LLM evaluation, Python, APIs, cloud infrastructure and production prototyping align, but the role requires 4+ years of professional AI/ML experience and independent ownership at scale.</x:v>
      </x:c>
      <x:c r="U383" s="31" t="str">
        <x:v>Not used</x:v>
      </x:c>
      <x:c r="V383" s="31" t="str">
        <x:v>None</x:v>
      </x:c>
      <x:c r="W383" s="31" t="str">
        <x:v>Halted immediately after full-description review; no application data transmitted.</x:v>
      </x:c>
    </x:row>
    <x:row r="384">
      <x:c r="A384" s="28" t="str">
        <x:v>Susquehanna International Group</x:v>
      </x:c>
      <x:c r="B384" s="28" t="str">
        <x:v>Associate Linux/Windows Engineer - New Grad</x:v>
      </x:c>
      <x:c r="C384" s="28" t="str">
        <x:v>https://www.linkedin.com/jobs/view/4409629420/</x:v>
      </x:c>
      <x:c r="D384" s="28" t="str">
        <x:v>https://careers.sig.com/jobs/9408?lang=en-us&amp;mode=apply</x:v>
      </x:c>
      <x:c r="E384" s="29" t="str">
        <x:v>Reposted 2026-09-13</x:v>
      </x:c>
      <x:c r="F384" s="29" t="str">
        <x:v>2026-09-14</x:v>
      </x:c>
      <x:c r="G384" s="29" t="str">
        <x:v>2026-09-14</x:v>
      </x:c>
      <x:c r="H384" s="29"/>
      <x:c r="I384" s="28" t="str">
        <x:v>Needs input</x:v>
      </x:c>
      <x:c r="J384" s="30"/>
      <x:c r="K384" s="30"/>
      <x:c r="L384" s="28" t="str">
        <x:v>15-1244</x:v>
      </x:c>
      <x:c r="M384" s="28" t="str">
        <x:v>Network and Computer Systems Administrators</x:v>
      </x:c>
      <x:c r="N384" s="31" t="str">
        <x:v>Philadelphia-Camden-Wilmington Level 1 for 15-1244 is $70,408. Salary is undisclosed, but this large quantitative-trading employer and new-grad infrastructure role are likely capable of clearing Level 1; the actual offer must be checked.</x:v>
      </x:c>
      <x:c r="O384" s="31" t="str">
        <x:v>Bala Cynwyd, PA</x:v>
      </x:c>
      <x:c r="P384" s="31"/>
      <x:c r="Q384" s="31" t="str">
        <x:v>On-site; rotating daily shifts</x:v>
      </x:c>
      <x:c r="R384" s="31" t="str">
        <x:v>Posting explicitly states visa sponsorship is available for this position.</x:v>
      </x:c>
      <x:c r="S384" s="31" t="str">
        <x:v>Strong</x:v>
      </x:c>
      <x:c r="T384" s="31" t="str">
        <x:v>New-grad rotation with Linux, Python, Bash, Docker, Kubernetes, Jenkins, Ansible, Grafana, troubleshooting and automation aligns with the candidate's infrastructure and ML-platform experience.</x:v>
      </x:c>
      <x:c r="U384" s="31" t="str">
        <x:v>Yuxuan_Chen_Resume_Zip_Software_Engineer_New_Grad_20260907.pdf</x:v>
      </x:c>
      <x:c r="V384" s="31" t="str">
        <x:v>SIG iCIMS requires completion of an hCaptcha before the application portal can be entered.</x:v>
      </x:c>
      <x:c r="W384" s="31" t="str">
        <x:v>High-priority established-employer role because sponsorship is explicit and the Level 1 threshold is comparatively low. Rechecked 2026-09-21; the official iCIMS entry page is open, but application access is blocked by a required hCaptcha.</x:v>
      </x:c>
    </x:row>
    <x:row r="385">
      <x:c r="A385" s="28"/>
      <x:c r="B385" s="28"/>
      <x:c r="C385" s="28"/>
      <x:c r="D385" s="28"/>
      <x:c r="E385" s="29"/>
      <x:c r="F385" s="29"/>
      <x:c r="G385" s="29"/>
      <x:c r="H385" s="29"/>
      <x:c r="I385" s="28"/>
      <x:c r="J385" s="30"/>
      <x:c r="K385" s="30"/>
      <x:c r="L385" s="28"/>
      <x:c r="M385" s="28"/>
      <x:c r="N385" s="31"/>
      <x:c r="O385" s="31"/>
      <x:c r="P385" s="31"/>
      <x:c r="Q385" s="31"/>
      <x:c r="R385" s="31"/>
      <x:c r="S385" s="31"/>
      <x:c r="T385" s="31"/>
      <x:c r="U385" s="31"/>
      <x:c r="V385" s="31"/>
      <x:c r="W385" s="31"/>
    </x:row>
    <x:row r="386">
      <x:c r="A386" s="28"/>
      <x:c r="B386" s="28"/>
      <x:c r="C386" s="28"/>
      <x:c r="D386" s="28"/>
      <x:c r="E386" s="29"/>
      <x:c r="F386" s="29"/>
      <x:c r="G386" s="29"/>
      <x:c r="H386" s="29"/>
      <x:c r="I386" s="28"/>
      <x:c r="J386" s="30"/>
      <x:c r="K386" s="30"/>
      <x:c r="L386" s="28"/>
      <x:c r="M386" s="28"/>
      <x:c r="N386" s="31"/>
      <x:c r="O386" s="31"/>
      <x:c r="P386" s="31"/>
      <x:c r="Q386" s="31"/>
      <x:c r="R386" s="31"/>
      <x:c r="S386" s="31"/>
      <x:c r="T386" s="31"/>
      <x:c r="U386" s="31"/>
      <x:c r="V386" s="31"/>
      <x:c r="W386" s="31"/>
    </x:row>
    <x:row r="387">
      <x:c r="A387" s="28"/>
      <x:c r="B387" s="28"/>
      <x:c r="C387" s="28"/>
      <x:c r="D387" s="28"/>
      <x:c r="E387" s="29"/>
      <x:c r="F387" s="29"/>
      <x:c r="G387" s="29"/>
      <x:c r="H387" s="29"/>
      <x:c r="I387" s="28"/>
      <x:c r="J387" s="30"/>
      <x:c r="K387" s="30"/>
      <x:c r="L387" s="28"/>
      <x:c r="M387" s="28"/>
      <x:c r="N387" s="31"/>
      <x:c r="O387" s="31"/>
      <x:c r="P387" s="31"/>
      <x:c r="Q387" s="31"/>
      <x:c r="R387" s="31"/>
      <x:c r="S387" s="31"/>
      <x:c r="T387" s="31"/>
      <x:c r="U387" s="31"/>
      <x:c r="V387" s="31"/>
      <x:c r="W387" s="31"/>
    </x:row>
    <x:row r="388">
      <x:c r="A388" s="28"/>
      <x:c r="B388" s="28"/>
      <x:c r="C388" s="28"/>
      <x:c r="D388" s="28"/>
      <x:c r="E388" s="29"/>
      <x:c r="F388" s="29"/>
      <x:c r="G388" s="29"/>
      <x:c r="H388" s="29"/>
      <x:c r="I388" s="28"/>
      <x:c r="J388" s="30"/>
      <x:c r="K388" s="30"/>
      <x:c r="L388" s="28"/>
      <x:c r="M388" s="28"/>
      <x:c r="N388" s="31"/>
      <x:c r="O388" s="31"/>
      <x:c r="P388" s="31"/>
      <x:c r="Q388" s="31"/>
      <x:c r="R388" s="31"/>
      <x:c r="S388" s="31"/>
      <x:c r="T388" s="31"/>
      <x:c r="U388" s="31"/>
      <x:c r="V388" s="31"/>
      <x:c r="W388" s="31"/>
    </x:row>
    <x:row r="389">
      <x:c r="A389" s="28"/>
      <x:c r="B389" s="28"/>
      <x:c r="C389" s="28"/>
      <x:c r="D389" s="28"/>
      <x:c r="E389" s="29"/>
      <x:c r="F389" s="29"/>
      <x:c r="G389" s="29"/>
      <x:c r="H389" s="29"/>
      <x:c r="I389" s="28"/>
      <x:c r="J389" s="30"/>
      <x:c r="K389" s="30"/>
      <x:c r="L389" s="28"/>
      <x:c r="M389" s="28"/>
      <x:c r="N389" s="31"/>
      <x:c r="O389" s="31"/>
      <x:c r="P389" s="31"/>
      <x:c r="Q389" s="31"/>
      <x:c r="R389" s="31"/>
      <x:c r="S389" s="31"/>
      <x:c r="T389" s="31"/>
      <x:c r="U389" s="31"/>
      <x:c r="V389" s="31"/>
      <x:c r="W389" s="31"/>
    </x:row>
    <x:row r="390">
      <x:c r="A390" s="28"/>
      <x:c r="B390" s="28"/>
      <x:c r="C390" s="28"/>
      <x:c r="D390" s="28"/>
      <x:c r="E390" s="29"/>
      <x:c r="F390" s="29"/>
      <x:c r="G390" s="29"/>
      <x:c r="H390" s="29"/>
      <x:c r="I390" s="28"/>
      <x:c r="J390" s="30"/>
      <x:c r="K390" s="30"/>
      <x:c r="L390" s="28"/>
      <x:c r="M390" s="28"/>
      <x:c r="N390" s="31"/>
      <x:c r="O390" s="31"/>
      <x:c r="P390" s="31"/>
      <x:c r="Q390" s="31"/>
      <x:c r="R390" s="31"/>
      <x:c r="S390" s="31"/>
      <x:c r="T390" s="31"/>
      <x:c r="U390" s="31"/>
      <x:c r="V390" s="31"/>
      <x:c r="W390" s="31"/>
    </x:row>
    <x:row r="391">
      <x:c r="A391" s="28"/>
      <x:c r="B391" s="28"/>
      <x:c r="C391" s="28"/>
      <x:c r="D391" s="28"/>
      <x:c r="E391" s="29"/>
      <x:c r="F391" s="29"/>
      <x:c r="G391" s="29"/>
      <x:c r="H391" s="29"/>
      <x:c r="I391" s="28"/>
      <x:c r="J391" s="30"/>
      <x:c r="K391" s="30"/>
      <x:c r="L391" s="28"/>
      <x:c r="M391" s="28"/>
      <x:c r="N391" s="31"/>
      <x:c r="O391" s="31"/>
      <x:c r="P391" s="31"/>
      <x:c r="Q391" s="31"/>
      <x:c r="R391" s="31"/>
      <x:c r="S391" s="31"/>
      <x:c r="T391" s="31"/>
      <x:c r="U391" s="31"/>
      <x:c r="V391" s="31"/>
      <x:c r="W391" s="31"/>
    </x:row>
    <x:row r="392">
      <x:c r="A392" s="28"/>
      <x:c r="B392" s="28"/>
      <x:c r="C392" s="28"/>
      <x:c r="D392" s="28"/>
      <x:c r="E392" s="29"/>
      <x:c r="F392" s="29"/>
      <x:c r="G392" s="29"/>
      <x:c r="H392" s="29"/>
      <x:c r="I392" s="28"/>
      <x:c r="J392" s="30"/>
      <x:c r="K392" s="30"/>
      <x:c r="L392" s="28"/>
      <x:c r="M392" s="28"/>
      <x:c r="N392" s="31"/>
      <x:c r="O392" s="31"/>
      <x:c r="P392" s="31"/>
      <x:c r="Q392" s="31"/>
      <x:c r="R392" s="31"/>
      <x:c r="S392" s="31"/>
      <x:c r="T392" s="31"/>
      <x:c r="U392" s="31"/>
      <x:c r="V392" s="31"/>
      <x:c r="W392" s="31"/>
    </x:row>
    <x:row r="393">
      <x:c r="A393" s="28"/>
      <x:c r="B393" s="28"/>
      <x:c r="C393" s="28"/>
      <x:c r="D393" s="28"/>
      <x:c r="E393" s="29"/>
      <x:c r="F393" s="29"/>
      <x:c r="G393" s="29"/>
      <x:c r="H393" s="29"/>
      <x:c r="I393" s="28"/>
      <x:c r="J393" s="30"/>
      <x:c r="K393" s="30"/>
      <x:c r="L393" s="28"/>
      <x:c r="M393" s="28"/>
      <x:c r="N393" s="31"/>
      <x:c r="O393" s="31"/>
      <x:c r="P393" s="31"/>
      <x:c r="Q393" s="31"/>
      <x:c r="R393" s="31"/>
      <x:c r="S393" s="31"/>
      <x:c r="T393" s="31"/>
      <x:c r="U393" s="31"/>
      <x:c r="V393" s="31"/>
      <x:c r="W393" s="31"/>
    </x:row>
    <x:row r="394">
      <x:c r="A394" s="28"/>
      <x:c r="B394" s="28"/>
      <x:c r="C394" s="28"/>
      <x:c r="D394" s="28"/>
      <x:c r="E394" s="29"/>
      <x:c r="F394" s="29"/>
      <x:c r="G394" s="29"/>
      <x:c r="H394" s="29"/>
      <x:c r="I394" s="28"/>
      <x:c r="J394" s="30"/>
      <x:c r="K394" s="30"/>
      <x:c r="L394" s="28"/>
      <x:c r="M394" s="28"/>
      <x:c r="N394" s="31"/>
      <x:c r="O394" s="31"/>
      <x:c r="P394" s="31"/>
      <x:c r="Q394" s="31"/>
      <x:c r="R394" s="31"/>
      <x:c r="S394" s="31"/>
      <x:c r="T394" s="31"/>
      <x:c r="U394" s="31"/>
      <x:c r="V394" s="31"/>
      <x:c r="W394" s="31"/>
    </x:row>
    <x:row r="395">
      <x:c r="A395" s="28"/>
      <x:c r="B395" s="28"/>
      <x:c r="C395" s="28"/>
      <x:c r="D395" s="28"/>
      <x:c r="E395" s="29"/>
      <x:c r="F395" s="29"/>
      <x:c r="G395" s="29"/>
      <x:c r="H395" s="29"/>
      <x:c r="I395" s="28"/>
      <x:c r="J395" s="30"/>
      <x:c r="K395" s="30"/>
      <x:c r="L395" s="28"/>
      <x:c r="M395" s="28"/>
      <x:c r="N395" s="31"/>
      <x:c r="O395" s="31"/>
      <x:c r="P395" s="31"/>
      <x:c r="Q395" s="31"/>
      <x:c r="R395" s="31"/>
      <x:c r="S395" s="31"/>
      <x:c r="T395" s="31"/>
      <x:c r="U395" s="31"/>
      <x:c r="V395" s="31"/>
      <x:c r="W395" s="31"/>
    </x:row>
    <x:row r="396">
      <x:c r="A396" s="28"/>
      <x:c r="B396" s="28"/>
      <x:c r="C396" s="28"/>
      <x:c r="D396" s="28"/>
      <x:c r="E396" s="29"/>
      <x:c r="F396" s="29"/>
      <x:c r="G396" s="29"/>
      <x:c r="H396" s="29"/>
      <x:c r="I396" s="28"/>
      <x:c r="J396" s="30"/>
      <x:c r="K396" s="30"/>
      <x:c r="L396" s="28"/>
      <x:c r="M396" s="28"/>
      <x:c r="N396" s="31"/>
      <x:c r="O396" s="31"/>
      <x:c r="P396" s="31"/>
      <x:c r="Q396" s="31"/>
      <x:c r="R396" s="31"/>
      <x:c r="S396" s="31"/>
      <x:c r="T396" s="31"/>
      <x:c r="U396" s="31"/>
      <x:c r="V396" s="31"/>
      <x:c r="W396" s="31"/>
    </x:row>
    <x:row r="397">
      <x:c r="A397" s="28"/>
      <x:c r="B397" s="28"/>
      <x:c r="C397" s="28"/>
      <x:c r="D397" s="28"/>
      <x:c r="E397" s="29"/>
      <x:c r="F397" s="29"/>
      <x:c r="G397" s="29"/>
      <x:c r="H397" s="29"/>
      <x:c r="I397" s="28"/>
      <x:c r="J397" s="30"/>
      <x:c r="K397" s="30"/>
      <x:c r="L397" s="28"/>
      <x:c r="M397" s="28"/>
      <x:c r="N397" s="31"/>
      <x:c r="O397" s="31"/>
      <x:c r="P397" s="31"/>
      <x:c r="Q397" s="31"/>
      <x:c r="R397" s="31"/>
      <x:c r="S397" s="31"/>
      <x:c r="T397" s="31"/>
      <x:c r="U397" s="31"/>
      <x:c r="V397" s="31"/>
      <x:c r="W397" s="31"/>
    </x:row>
    <x:row r="398">
      <x:c r="A398" s="28"/>
      <x:c r="B398" s="28"/>
      <x:c r="C398" s="28"/>
      <x:c r="D398" s="28"/>
      <x:c r="E398" s="29"/>
      <x:c r="F398" s="29"/>
      <x:c r="G398" s="29"/>
      <x:c r="H398" s="29"/>
      <x:c r="I398" s="28"/>
      <x:c r="J398" s="30"/>
      <x:c r="K398" s="30"/>
      <x:c r="L398" s="28"/>
      <x:c r="M398" s="28"/>
      <x:c r="N398" s="31"/>
      <x:c r="O398" s="31"/>
      <x:c r="P398" s="31"/>
      <x:c r="Q398" s="31"/>
      <x:c r="R398" s="31"/>
      <x:c r="S398" s="31"/>
      <x:c r="T398" s="31"/>
      <x:c r="U398" s="31"/>
      <x:c r="V398" s="31"/>
      <x:c r="W398" s="31"/>
    </x:row>
    <x:row r="399">
      <x:c r="A399" s="28"/>
      <x:c r="B399" s="28"/>
      <x:c r="C399" s="28"/>
      <x:c r="D399" s="28"/>
      <x:c r="E399" s="29"/>
      <x:c r="F399" s="29"/>
      <x:c r="G399" s="29"/>
      <x:c r="H399" s="29"/>
      <x:c r="I399" s="28"/>
      <x:c r="J399" s="30"/>
      <x:c r="K399" s="30"/>
      <x:c r="L399" s="28"/>
      <x:c r="M399" s="28"/>
      <x:c r="N399" s="31"/>
      <x:c r="O399" s="31"/>
      <x:c r="P399" s="31"/>
      <x:c r="Q399" s="31"/>
      <x:c r="R399" s="31"/>
      <x:c r="S399" s="31"/>
      <x:c r="T399" s="31"/>
      <x:c r="U399" s="31"/>
      <x:c r="V399" s="31"/>
      <x:c r="W399" s="31"/>
    </x:row>
    <x:row r="400">
      <x:c r="A400" s="28"/>
      <x:c r="B400" s="28"/>
      <x:c r="C400" s="28"/>
      <x:c r="D400" s="28"/>
      <x:c r="E400" s="29"/>
      <x:c r="F400" s="29"/>
      <x:c r="G400" s="29"/>
      <x:c r="H400" s="29"/>
      <x:c r="I400" s="28"/>
      <x:c r="J400" s="30"/>
      <x:c r="K400" s="30"/>
      <x:c r="L400" s="28"/>
      <x:c r="M400" s="28"/>
      <x:c r="N400" s="31"/>
      <x:c r="O400" s="31"/>
      <x:c r="P400" s="31"/>
      <x:c r="Q400" s="31"/>
      <x:c r="R400" s="31"/>
      <x:c r="S400" s="31"/>
      <x:c r="T400" s="31"/>
      <x:c r="U400" s="31"/>
      <x:c r="V400" s="31"/>
      <x:c r="W400" s="31"/>
    </x:row>
    <x:row r="401">
      <x:c r="A401" s="28"/>
      <x:c r="B401" s="28"/>
      <x:c r="C401" s="28"/>
      <x:c r="D401" s="28"/>
      <x:c r="E401" s="29"/>
      <x:c r="F401" s="29"/>
      <x:c r="G401" s="29"/>
      <x:c r="H401" s="29"/>
      <x:c r="I401" s="28"/>
      <x:c r="J401" s="30"/>
      <x:c r="K401" s="30"/>
      <x:c r="L401" s="28"/>
      <x:c r="M401" s="28"/>
      <x:c r="N401" s="31"/>
      <x:c r="O401" s="31"/>
      <x:c r="P401" s="31"/>
      <x:c r="Q401" s="31"/>
      <x:c r="R401" s="31"/>
      <x:c r="S401" s="31"/>
      <x:c r="T401" s="31"/>
      <x:c r="U401" s="31"/>
      <x:c r="V401" s="31"/>
      <x:c r="W401" s="31"/>
    </x:row>
    <x:row r="402">
      <x:c r="A402" s="28"/>
      <x:c r="B402" s="28"/>
      <x:c r="C402" s="28"/>
      <x:c r="D402" s="28"/>
      <x:c r="E402" s="29"/>
      <x:c r="F402" s="29"/>
      <x:c r="G402" s="29"/>
      <x:c r="H402" s="29"/>
      <x:c r="I402" s="28"/>
      <x:c r="J402" s="30"/>
      <x:c r="K402" s="30"/>
      <x:c r="L402" s="28"/>
      <x:c r="M402" s="28"/>
      <x:c r="N402" s="31"/>
      <x:c r="O402" s="31"/>
      <x:c r="P402" s="31"/>
      <x:c r="Q402" s="31"/>
      <x:c r="R402" s="31"/>
      <x:c r="S402" s="31"/>
      <x:c r="T402" s="31"/>
      <x:c r="U402" s="31"/>
      <x:c r="V402" s="31"/>
      <x:c r="W402" s="31"/>
    </x:row>
    <x:row r="403">
      <x:c r="A403" s="28"/>
      <x:c r="B403" s="28"/>
      <x:c r="C403" s="28"/>
      <x:c r="D403" s="28"/>
      <x:c r="E403" s="29"/>
      <x:c r="F403" s="29"/>
      <x:c r="G403" s="29"/>
      <x:c r="H403" s="29"/>
      <x:c r="I403" s="28"/>
      <x:c r="J403" s="30"/>
      <x:c r="K403" s="30"/>
      <x:c r="L403" s="28"/>
      <x:c r="M403" s="28"/>
      <x:c r="N403" s="31"/>
      <x:c r="O403" s="31"/>
      <x:c r="P403" s="31"/>
      <x:c r="Q403" s="31"/>
      <x:c r="R403" s="31"/>
      <x:c r="S403" s="31"/>
      <x:c r="T403" s="31"/>
      <x:c r="U403" s="31"/>
      <x:c r="V403" s="31"/>
      <x:c r="W403" s="31"/>
    </x:row>
    <x:row r="404">
      <x:c r="A404" s="28"/>
      <x:c r="B404" s="28"/>
      <x:c r="C404" s="28"/>
      <x:c r="D404" s="28"/>
      <x:c r="E404" s="29"/>
      <x:c r="F404" s="29"/>
      <x:c r="G404" s="29"/>
      <x:c r="H404" s="29"/>
      <x:c r="I404" s="28"/>
      <x:c r="J404" s="30"/>
      <x:c r="K404" s="30"/>
      <x:c r="L404" s="28"/>
      <x:c r="M404" s="28"/>
      <x:c r="N404" s="31"/>
      <x:c r="O404" s="31"/>
      <x:c r="P404" s="31"/>
      <x:c r="Q404" s="31"/>
      <x:c r="R404" s="31"/>
      <x:c r="S404" s="31"/>
      <x:c r="T404" s="31"/>
      <x:c r="U404" s="31"/>
      <x:c r="V404" s="31"/>
      <x:c r="W404" s="31"/>
    </x:row>
    <x:row r="405">
      <x:c r="A405" s="28"/>
      <x:c r="B405" s="28"/>
      <x:c r="C405" s="28"/>
      <x:c r="D405" s="28"/>
      <x:c r="E405" s="29"/>
      <x:c r="F405" s="29"/>
      <x:c r="G405" s="29"/>
      <x:c r="H405" s="29"/>
      <x:c r="I405" s="28"/>
      <x:c r="J405" s="30"/>
      <x:c r="K405" s="30"/>
      <x:c r="L405" s="28"/>
      <x:c r="M405" s="28"/>
      <x:c r="N405" s="31"/>
      <x:c r="O405" s="31"/>
      <x:c r="P405" s="31"/>
      <x:c r="Q405" s="31"/>
      <x:c r="R405" s="31"/>
      <x:c r="S405" s="31"/>
      <x:c r="T405" s="31"/>
      <x:c r="U405" s="31"/>
      <x:c r="V405" s="31"/>
      <x:c r="W405" s="31"/>
    </x:row>
    <x:row r="406">
      <x:c r="A406" s="28"/>
      <x:c r="B406" s="28"/>
      <x:c r="C406" s="28"/>
      <x:c r="D406" s="28"/>
      <x:c r="E406" s="29"/>
      <x:c r="F406" s="29"/>
      <x:c r="G406" s="29"/>
      <x:c r="H406" s="29"/>
      <x:c r="I406" s="28"/>
      <x:c r="J406" s="30"/>
      <x:c r="K406" s="30"/>
      <x:c r="L406" s="28"/>
      <x:c r="M406" s="28"/>
      <x:c r="N406" s="31"/>
      <x:c r="O406" s="31"/>
      <x:c r="P406" s="31"/>
      <x:c r="Q406" s="31"/>
      <x:c r="R406" s="31"/>
      <x:c r="S406" s="31"/>
      <x:c r="T406" s="31"/>
      <x:c r="U406" s="31"/>
      <x:c r="V406" s="31"/>
      <x:c r="W406" s="31"/>
    </x:row>
    <x:row r="407">
      <x:c r="A407" s="28"/>
      <x:c r="B407" s="28"/>
      <x:c r="C407" s="28"/>
      <x:c r="D407" s="28"/>
      <x:c r="E407" s="29"/>
      <x:c r="F407" s="29"/>
      <x:c r="G407" s="29"/>
      <x:c r="H407" s="29"/>
      <x:c r="I407" s="28"/>
      <x:c r="J407" s="30"/>
      <x:c r="K407" s="30"/>
      <x:c r="L407" s="28"/>
      <x:c r="M407" s="28"/>
      <x:c r="N407" s="31"/>
      <x:c r="O407" s="31"/>
      <x:c r="P407" s="31"/>
      <x:c r="Q407" s="31"/>
      <x:c r="R407" s="31"/>
      <x:c r="S407" s="31"/>
      <x:c r="T407" s="31"/>
      <x:c r="U407" s="31"/>
      <x:c r="V407" s="31"/>
      <x:c r="W407" s="31"/>
    </x:row>
    <x:row r="408">
      <x:c r="A408" s="28"/>
      <x:c r="B408" s="28"/>
      <x:c r="C408" s="28"/>
      <x:c r="D408" s="28"/>
      <x:c r="E408" s="29"/>
      <x:c r="F408" s="29"/>
      <x:c r="G408" s="29"/>
      <x:c r="H408" s="29"/>
      <x:c r="I408" s="28"/>
      <x:c r="J408" s="30"/>
      <x:c r="K408" s="30"/>
      <x:c r="L408" s="28"/>
      <x:c r="M408" s="28"/>
      <x:c r="N408" s="31"/>
      <x:c r="O408" s="31"/>
      <x:c r="P408" s="31"/>
      <x:c r="Q408" s="31"/>
      <x:c r="R408" s="31"/>
      <x:c r="S408" s="31"/>
      <x:c r="T408" s="31"/>
      <x:c r="U408" s="31"/>
      <x:c r="V408" s="31"/>
      <x:c r="W408" s="31"/>
    </x:row>
    <x:row r="409">
      <x:c r="A409" s="28"/>
      <x:c r="B409" s="28"/>
      <x:c r="C409" s="28"/>
      <x:c r="D409" s="28"/>
      <x:c r="E409" s="29"/>
      <x:c r="F409" s="29"/>
      <x:c r="G409" s="29"/>
      <x:c r="H409" s="29"/>
      <x:c r="I409" s="28"/>
      <x:c r="J409" s="30"/>
      <x:c r="K409" s="30"/>
      <x:c r="L409" s="28"/>
      <x:c r="M409" s="28"/>
      <x:c r="N409" s="31"/>
      <x:c r="O409" s="31"/>
      <x:c r="P409" s="31"/>
      <x:c r="Q409" s="31"/>
      <x:c r="R409" s="31"/>
      <x:c r="S409" s="31"/>
      <x:c r="T409" s="31"/>
      <x:c r="U409" s="31"/>
      <x:c r="V409" s="31"/>
      <x:c r="W409" s="31"/>
    </x:row>
    <x:row r="410">
      <x:c r="A410" s="28"/>
      <x:c r="B410" s="28"/>
      <x:c r="C410" s="28"/>
      <x:c r="D410" s="28"/>
      <x:c r="E410" s="29"/>
      <x:c r="F410" s="29"/>
      <x:c r="G410" s="29"/>
      <x:c r="H410" s="29"/>
      <x:c r="I410" s="28"/>
      <x:c r="J410" s="30"/>
      <x:c r="K410" s="30"/>
      <x:c r="L410" s="28"/>
      <x:c r="M410" s="28"/>
      <x:c r="N410" s="31"/>
      <x:c r="O410" s="31"/>
      <x:c r="P410" s="31"/>
      <x:c r="Q410" s="31"/>
      <x:c r="R410" s="31"/>
      <x:c r="S410" s="31"/>
      <x:c r="T410" s="31"/>
      <x:c r="U410" s="31"/>
      <x:c r="V410" s="31"/>
      <x:c r="W410" s="31"/>
    </x:row>
    <x:row r="411">
      <x:c r="A411" s="28"/>
      <x:c r="B411" s="28"/>
      <x:c r="C411" s="28"/>
      <x:c r="D411" s="28"/>
      <x:c r="E411" s="29"/>
      <x:c r="F411" s="29"/>
      <x:c r="G411" s="29"/>
      <x:c r="H411" s="29"/>
      <x:c r="I411" s="28"/>
      <x:c r="J411" s="30"/>
      <x:c r="K411" s="30"/>
      <x:c r="L411" s="28"/>
      <x:c r="M411" s="28"/>
      <x:c r="N411" s="31"/>
      <x:c r="O411" s="31"/>
      <x:c r="P411" s="31"/>
      <x:c r="Q411" s="31"/>
      <x:c r="R411" s="31"/>
      <x:c r="S411" s="31"/>
      <x:c r="T411" s="31"/>
      <x:c r="U411" s="31"/>
      <x:c r="V411" s="31"/>
      <x:c r="W411" s="31"/>
    </x:row>
    <x:row r="412">
      <x:c r="A412" s="28"/>
      <x:c r="B412" s="28"/>
      <x:c r="C412" s="28"/>
      <x:c r="D412" s="28"/>
      <x:c r="E412" s="29"/>
      <x:c r="F412" s="29"/>
      <x:c r="G412" s="29"/>
      <x:c r="H412" s="29"/>
      <x:c r="I412" s="28"/>
      <x:c r="J412" s="30"/>
      <x:c r="K412" s="30"/>
      <x:c r="L412" s="28"/>
      <x:c r="M412" s="28"/>
      <x:c r="N412" s="31"/>
      <x:c r="O412" s="31"/>
      <x:c r="P412" s="31"/>
      <x:c r="Q412" s="31"/>
      <x:c r="R412" s="31"/>
      <x:c r="S412" s="31"/>
      <x:c r="T412" s="31"/>
      <x:c r="U412" s="31"/>
      <x:c r="V412" s="31"/>
      <x:c r="W412" s="31"/>
    </x:row>
    <x:row r="413">
      <x:c r="A413" s="28"/>
      <x:c r="B413" s="28"/>
      <x:c r="C413" s="28"/>
      <x:c r="D413" s="28"/>
      <x:c r="E413" s="29"/>
      <x:c r="F413" s="29"/>
      <x:c r="G413" s="29"/>
      <x:c r="H413" s="29"/>
      <x:c r="I413" s="28"/>
      <x:c r="J413" s="30"/>
      <x:c r="K413" s="30"/>
      <x:c r="L413" s="28"/>
      <x:c r="M413" s="28"/>
      <x:c r="N413" s="31"/>
      <x:c r="O413" s="31"/>
      <x:c r="P413" s="31"/>
      <x:c r="Q413" s="31"/>
      <x:c r="R413" s="31"/>
      <x:c r="S413" s="31"/>
      <x:c r="T413" s="31"/>
      <x:c r="U413" s="31"/>
      <x:c r="V413" s="31"/>
      <x:c r="W413" s="31"/>
    </x:row>
    <x:row r="414">
      <x:c r="A414" s="28"/>
      <x:c r="B414" s="28"/>
      <x:c r="C414" s="28"/>
      <x:c r="D414" s="28"/>
      <x:c r="E414" s="29"/>
      <x:c r="F414" s="29"/>
      <x:c r="G414" s="29"/>
      <x:c r="H414" s="29"/>
      <x:c r="I414" s="28"/>
      <x:c r="J414" s="30"/>
      <x:c r="K414" s="30"/>
      <x:c r="L414" s="28"/>
      <x:c r="M414" s="28"/>
      <x:c r="N414" s="31"/>
      <x:c r="O414" s="31"/>
      <x:c r="P414" s="31"/>
      <x:c r="Q414" s="31"/>
      <x:c r="R414" s="31"/>
      <x:c r="S414" s="31"/>
      <x:c r="T414" s="31"/>
      <x:c r="U414" s="31"/>
      <x:c r="V414" s="31"/>
      <x:c r="W414" s="31"/>
    </x:row>
    <x:row r="415">
      <x:c r="A415" s="28"/>
      <x:c r="B415" s="28"/>
      <x:c r="C415" s="28"/>
      <x:c r="D415" s="28"/>
      <x:c r="E415" s="29"/>
      <x:c r="F415" s="29"/>
      <x:c r="G415" s="29"/>
      <x:c r="H415" s="29"/>
      <x:c r="I415" s="28"/>
      <x:c r="J415" s="30"/>
      <x:c r="K415" s="30"/>
      <x:c r="L415" s="28"/>
      <x:c r="M415" s="28"/>
      <x:c r="N415" s="31"/>
      <x:c r="O415" s="31"/>
      <x:c r="P415" s="31"/>
      <x:c r="Q415" s="31"/>
      <x:c r="R415" s="31"/>
      <x:c r="S415" s="31"/>
      <x:c r="T415" s="31"/>
      <x:c r="U415" s="31"/>
      <x:c r="V415" s="31"/>
      <x:c r="W415" s="31"/>
    </x:row>
    <x:row r="416">
      <x:c r="A416" s="28"/>
      <x:c r="B416" s="28"/>
      <x:c r="C416" s="28"/>
      <x:c r="D416" s="28"/>
      <x:c r="E416" s="29"/>
      <x:c r="F416" s="29"/>
      <x:c r="G416" s="29"/>
      <x:c r="H416" s="29"/>
      <x:c r="I416" s="28"/>
      <x:c r="J416" s="30"/>
      <x:c r="K416" s="30"/>
      <x:c r="L416" s="28"/>
      <x:c r="M416" s="28"/>
      <x:c r="N416" s="31"/>
      <x:c r="O416" s="31"/>
      <x:c r="P416" s="31"/>
      <x:c r="Q416" s="31"/>
      <x:c r="R416" s="31"/>
      <x:c r="S416" s="31"/>
      <x:c r="T416" s="31"/>
      <x:c r="U416" s="31"/>
      <x:c r="V416" s="31"/>
      <x:c r="W416" s="31"/>
    </x:row>
    <x:row r="417">
      <x:c r="A417" s="28"/>
      <x:c r="B417" s="28"/>
      <x:c r="C417" s="28"/>
      <x:c r="D417" s="28"/>
      <x:c r="E417" s="29"/>
      <x:c r="F417" s="29"/>
      <x:c r="G417" s="29"/>
      <x:c r="H417" s="29"/>
      <x:c r="I417" s="28"/>
      <x:c r="J417" s="30"/>
      <x:c r="K417" s="30"/>
      <x:c r="L417" s="28"/>
      <x:c r="M417" s="28"/>
      <x:c r="N417" s="31"/>
      <x:c r="O417" s="31"/>
      <x:c r="P417" s="31"/>
      <x:c r="Q417" s="31"/>
      <x:c r="R417" s="31"/>
      <x:c r="S417" s="31"/>
      <x:c r="T417" s="31"/>
      <x:c r="U417" s="31"/>
      <x:c r="V417" s="31"/>
      <x:c r="W417" s="31"/>
    </x:row>
    <x:row r="418">
      <x:c r="A418" s="28"/>
      <x:c r="B418" s="28"/>
      <x:c r="C418" s="28"/>
      <x:c r="D418" s="28"/>
      <x:c r="E418" s="29"/>
      <x:c r="F418" s="29"/>
      <x:c r="G418" s="29"/>
      <x:c r="H418" s="29"/>
      <x:c r="I418" s="28"/>
      <x:c r="J418" s="30"/>
      <x:c r="K418" s="30"/>
      <x:c r="L418" s="28"/>
      <x:c r="M418" s="28"/>
      <x:c r="N418" s="31"/>
      <x:c r="O418" s="31"/>
      <x:c r="P418" s="31"/>
      <x:c r="Q418" s="31"/>
      <x:c r="R418" s="31"/>
      <x:c r="S418" s="31"/>
      <x:c r="T418" s="31"/>
      <x:c r="U418" s="31"/>
      <x:c r="V418" s="31"/>
      <x:c r="W418" s="31"/>
    </x:row>
    <x:row r="419">
      <x:c r="A419" s="28"/>
      <x:c r="B419" s="28"/>
      <x:c r="C419" s="28"/>
      <x:c r="D419" s="28"/>
      <x:c r="E419" s="29"/>
      <x:c r="F419" s="29"/>
      <x:c r="G419" s="29"/>
      <x:c r="H419" s="29"/>
      <x:c r="I419" s="28"/>
      <x:c r="J419" s="30"/>
      <x:c r="K419" s="30"/>
      <x:c r="L419" s="28"/>
      <x:c r="M419" s="28"/>
      <x:c r="N419" s="31"/>
      <x:c r="O419" s="31"/>
      <x:c r="P419" s="31"/>
      <x:c r="Q419" s="31"/>
      <x:c r="R419" s="31"/>
      <x:c r="S419" s="31"/>
      <x:c r="T419" s="31"/>
      <x:c r="U419" s="31"/>
      <x:c r="V419" s="31"/>
      <x:c r="W419" s="31"/>
    </x:row>
    <x:row r="420">
      <x:c r="A420" s="28"/>
      <x:c r="B420" s="28"/>
      <x:c r="C420" s="28"/>
      <x:c r="D420" s="28"/>
      <x:c r="E420" s="29"/>
      <x:c r="F420" s="29"/>
      <x:c r="G420" s="29"/>
      <x:c r="H420" s="29"/>
      <x:c r="I420" s="28"/>
      <x:c r="J420" s="30"/>
      <x:c r="K420" s="30"/>
      <x:c r="L420" s="28"/>
      <x:c r="M420" s="28"/>
      <x:c r="N420" s="31"/>
      <x:c r="O420" s="31"/>
      <x:c r="P420" s="31"/>
      <x:c r="Q420" s="31"/>
      <x:c r="R420" s="31"/>
      <x:c r="S420" s="31"/>
      <x:c r="T420" s="31"/>
      <x:c r="U420" s="31"/>
      <x:c r="V420" s="31"/>
      <x:c r="W420" s="31"/>
    </x:row>
    <x:row r="421">
      <x:c r="A421" s="28"/>
      <x:c r="B421" s="28"/>
      <x:c r="C421" s="28"/>
      <x:c r="D421" s="28"/>
      <x:c r="E421" s="29"/>
      <x:c r="F421" s="29"/>
      <x:c r="G421" s="29"/>
      <x:c r="H421" s="29"/>
      <x:c r="I421" s="28"/>
      <x:c r="J421" s="30"/>
      <x:c r="K421" s="30"/>
      <x:c r="L421" s="28"/>
      <x:c r="M421" s="28"/>
      <x:c r="N421" s="31"/>
      <x:c r="O421" s="31"/>
      <x:c r="P421" s="31"/>
      <x:c r="Q421" s="31"/>
      <x:c r="R421" s="31"/>
      <x:c r="S421" s="31"/>
      <x:c r="T421" s="31"/>
      <x:c r="U421" s="31"/>
      <x:c r="V421" s="31"/>
      <x:c r="W421" s="31"/>
    </x:row>
    <x:row r="422">
      <x:c r="A422" s="28"/>
      <x:c r="B422" s="28"/>
      <x:c r="C422" s="28"/>
      <x:c r="D422" s="28"/>
      <x:c r="E422" s="29"/>
      <x:c r="F422" s="29"/>
      <x:c r="G422" s="29"/>
      <x:c r="H422" s="29"/>
      <x:c r="I422" s="28"/>
      <x:c r="J422" s="30"/>
      <x:c r="K422" s="30"/>
      <x:c r="L422" s="28"/>
      <x:c r="M422" s="28"/>
      <x:c r="N422" s="31"/>
      <x:c r="O422" s="31"/>
      <x:c r="P422" s="31"/>
      <x:c r="Q422" s="31"/>
      <x:c r="R422" s="31"/>
      <x:c r="S422" s="31"/>
      <x:c r="T422" s="31"/>
      <x:c r="U422" s="31"/>
      <x:c r="V422" s="31"/>
      <x:c r="W422" s="31"/>
    </x:row>
    <x:row r="423">
      <x:c r="A423" s="28"/>
      <x:c r="B423" s="28"/>
      <x:c r="C423" s="28"/>
      <x:c r="D423" s="28"/>
      <x:c r="E423" s="29"/>
      <x:c r="F423" s="29"/>
      <x:c r="G423" s="29"/>
      <x:c r="H423" s="29"/>
      <x:c r="I423" s="28"/>
      <x:c r="J423" s="30"/>
      <x:c r="K423" s="30"/>
      <x:c r="L423" s="28"/>
      <x:c r="M423" s="28"/>
      <x:c r="N423" s="31"/>
      <x:c r="O423" s="31"/>
      <x:c r="P423" s="31"/>
      <x:c r="Q423" s="31"/>
      <x:c r="R423" s="31"/>
      <x:c r="S423" s="31"/>
      <x:c r="T423" s="31"/>
      <x:c r="U423" s="31"/>
      <x:c r="V423" s="31"/>
      <x:c r="W423" s="31"/>
    </x:row>
    <x:row r="424">
      <x:c r="A424" s="28"/>
      <x:c r="B424" s="28"/>
      <x:c r="C424" s="28"/>
      <x:c r="D424" s="28"/>
      <x:c r="E424" s="29"/>
      <x:c r="F424" s="29"/>
      <x:c r="G424" s="29"/>
      <x:c r="H424" s="29"/>
      <x:c r="I424" s="28"/>
      <x:c r="J424" s="30"/>
      <x:c r="K424" s="30"/>
      <x:c r="L424" s="28"/>
      <x:c r="M424" s="28"/>
      <x:c r="N424" s="31"/>
      <x:c r="O424" s="31"/>
      <x:c r="P424" s="31"/>
      <x:c r="Q424" s="31"/>
      <x:c r="R424" s="31"/>
      <x:c r="S424" s="31"/>
      <x:c r="T424" s="31"/>
      <x:c r="U424" s="31"/>
      <x:c r="V424" s="31"/>
      <x:c r="W424" s="31"/>
    </x:row>
    <x:row r="425">
      <x:c r="A425" s="28"/>
      <x:c r="B425" s="28"/>
      <x:c r="C425" s="28"/>
      <x:c r="D425" s="28"/>
      <x:c r="E425" s="29"/>
      <x:c r="F425" s="29"/>
      <x:c r="G425" s="29"/>
      <x:c r="H425" s="29"/>
      <x:c r="I425" s="28"/>
      <x:c r="J425" s="30"/>
      <x:c r="K425" s="30"/>
      <x:c r="L425" s="28"/>
      <x:c r="M425" s="28"/>
      <x:c r="N425" s="31"/>
      <x:c r="O425" s="31"/>
      <x:c r="P425" s="31"/>
      <x:c r="Q425" s="31"/>
      <x:c r="R425" s="31"/>
      <x:c r="S425" s="31"/>
      <x:c r="T425" s="31"/>
      <x:c r="U425" s="31"/>
      <x:c r="V425" s="31"/>
      <x:c r="W425" s="31"/>
    </x:row>
    <x:row r="426">
      <x:c r="A426" s="28"/>
      <x:c r="B426" s="28"/>
      <x:c r="C426" s="28"/>
      <x:c r="D426" s="28"/>
      <x:c r="E426" s="29"/>
      <x:c r="F426" s="29"/>
      <x:c r="G426" s="29"/>
      <x:c r="H426" s="29"/>
      <x:c r="I426" s="28"/>
      <x:c r="J426" s="30"/>
      <x:c r="K426" s="30"/>
      <x:c r="L426" s="28"/>
      <x:c r="M426" s="28"/>
      <x:c r="N426" s="31"/>
      <x:c r="O426" s="31"/>
      <x:c r="P426" s="31"/>
      <x:c r="Q426" s="31"/>
      <x:c r="R426" s="31"/>
      <x:c r="S426" s="31"/>
      <x:c r="T426" s="31"/>
      <x:c r="U426" s="31"/>
      <x:c r="V426" s="31"/>
      <x:c r="W426" s="31"/>
    </x:row>
    <x:row r="427">
      <x:c r="A427" s="28"/>
      <x:c r="B427" s="28"/>
      <x:c r="C427" s="28"/>
      <x:c r="D427" s="28"/>
      <x:c r="E427" s="29"/>
      <x:c r="F427" s="29"/>
      <x:c r="G427" s="29"/>
      <x:c r="H427" s="29"/>
      <x:c r="I427" s="28"/>
      <x:c r="J427" s="30"/>
      <x:c r="K427" s="30"/>
      <x:c r="L427" s="28"/>
      <x:c r="M427" s="28"/>
      <x:c r="N427" s="31"/>
      <x:c r="O427" s="31"/>
      <x:c r="P427" s="31"/>
      <x:c r="Q427" s="31"/>
      <x:c r="R427" s="31"/>
      <x:c r="S427" s="31"/>
      <x:c r="T427" s="31"/>
      <x:c r="U427" s="31"/>
      <x:c r="V427" s="31"/>
      <x:c r="W427" s="31"/>
    </x:row>
    <x:row r="428">
      <x:c r="A428" s="28"/>
      <x:c r="B428" s="28"/>
      <x:c r="C428" s="28"/>
      <x:c r="D428" s="28"/>
      <x:c r="E428" s="29"/>
      <x:c r="F428" s="29"/>
      <x:c r="G428" s="29"/>
      <x:c r="H428" s="29"/>
      <x:c r="I428" s="28"/>
      <x:c r="J428" s="30"/>
      <x:c r="K428" s="30"/>
      <x:c r="L428" s="28"/>
      <x:c r="M428" s="28"/>
      <x:c r="N428" s="31"/>
      <x:c r="O428" s="31"/>
      <x:c r="P428" s="31"/>
      <x:c r="Q428" s="31"/>
      <x:c r="R428" s="31"/>
      <x:c r="S428" s="31"/>
      <x:c r="T428" s="31"/>
      <x:c r="U428" s="31"/>
      <x:c r="V428" s="31"/>
      <x:c r="W428" s="31"/>
    </x:row>
    <x:row r="429">
      <x:c r="A429" s="28"/>
      <x:c r="B429" s="28"/>
      <x:c r="C429" s="28"/>
      <x:c r="D429" s="28"/>
      <x:c r="E429" s="29"/>
      <x:c r="F429" s="29"/>
      <x:c r="G429" s="29"/>
      <x:c r="H429" s="29"/>
      <x:c r="I429" s="28"/>
      <x:c r="J429" s="30"/>
      <x:c r="K429" s="30"/>
      <x:c r="L429" s="28"/>
      <x:c r="M429" s="28"/>
      <x:c r="N429" s="31"/>
      <x:c r="O429" s="31"/>
      <x:c r="P429" s="31"/>
      <x:c r="Q429" s="31"/>
      <x:c r="R429" s="31"/>
      <x:c r="S429" s="31"/>
      <x:c r="T429" s="31"/>
      <x:c r="U429" s="31"/>
      <x:c r="V429" s="31"/>
      <x:c r="W429" s="31"/>
    </x:row>
    <x:row r="430">
      <x:c r="A430" s="28"/>
      <x:c r="B430" s="28"/>
      <x:c r="C430" s="28"/>
      <x:c r="D430" s="28"/>
      <x:c r="E430" s="29"/>
      <x:c r="F430" s="29"/>
      <x:c r="G430" s="29"/>
      <x:c r="H430" s="29"/>
      <x:c r="I430" s="28"/>
      <x:c r="J430" s="30"/>
      <x:c r="K430" s="30"/>
      <x:c r="L430" s="28"/>
      <x:c r="M430" s="28"/>
      <x:c r="N430" s="31"/>
      <x:c r="O430" s="31"/>
      <x:c r="P430" s="31"/>
      <x:c r="Q430" s="31"/>
      <x:c r="R430" s="31"/>
      <x:c r="S430" s="31"/>
      <x:c r="T430" s="31"/>
      <x:c r="U430" s="31"/>
      <x:c r="V430" s="31"/>
      <x:c r="W430" s="31"/>
    </x:row>
    <x:row r="431">
      <x:c r="A431" s="28"/>
      <x:c r="B431" s="28"/>
      <x:c r="C431" s="28"/>
      <x:c r="D431" s="28"/>
      <x:c r="E431" s="29"/>
      <x:c r="F431" s="29"/>
      <x:c r="G431" s="29"/>
      <x:c r="H431" s="29"/>
      <x:c r="I431" s="28"/>
      <x:c r="J431" s="30"/>
      <x:c r="K431" s="30"/>
      <x:c r="L431" s="28"/>
      <x:c r="M431" s="28"/>
      <x:c r="N431" s="31"/>
      <x:c r="O431" s="31"/>
      <x:c r="P431" s="31"/>
      <x:c r="Q431" s="31"/>
      <x:c r="R431" s="31"/>
      <x:c r="S431" s="31"/>
      <x:c r="T431" s="31"/>
      <x:c r="U431" s="31"/>
      <x:c r="V431" s="31"/>
      <x:c r="W431" s="31"/>
    </x:row>
    <x:row r="432">
      <x:c r="A432" s="28"/>
      <x:c r="B432" s="28"/>
      <x:c r="C432" s="28"/>
      <x:c r="D432" s="28"/>
      <x:c r="E432" s="29"/>
      <x:c r="F432" s="29"/>
      <x:c r="G432" s="29"/>
      <x:c r="H432" s="29"/>
      <x:c r="I432" s="28"/>
      <x:c r="J432" s="30"/>
      <x:c r="K432" s="30"/>
      <x:c r="L432" s="28"/>
      <x:c r="M432" s="28"/>
      <x:c r="N432" s="31"/>
      <x:c r="O432" s="31"/>
      <x:c r="P432" s="31"/>
      <x:c r="Q432" s="31"/>
      <x:c r="R432" s="31"/>
      <x:c r="S432" s="31"/>
      <x:c r="T432" s="31"/>
      <x:c r="U432" s="31"/>
      <x:c r="V432" s="31"/>
      <x:c r="W432" s="31"/>
    </x:row>
    <x:row r="433">
      <x:c r="A433" s="28"/>
      <x:c r="B433" s="28"/>
      <x:c r="C433" s="28"/>
      <x:c r="D433" s="28"/>
      <x:c r="E433" s="29"/>
      <x:c r="F433" s="29"/>
      <x:c r="G433" s="29"/>
      <x:c r="H433" s="29"/>
      <x:c r="I433" s="28"/>
      <x:c r="J433" s="30"/>
      <x:c r="K433" s="30"/>
      <x:c r="L433" s="28"/>
      <x:c r="M433" s="28"/>
      <x:c r="N433" s="31"/>
      <x:c r="O433" s="31"/>
      <x:c r="P433" s="31"/>
      <x:c r="Q433" s="31"/>
      <x:c r="R433" s="31"/>
      <x:c r="S433" s="31"/>
      <x:c r="T433" s="31"/>
      <x:c r="U433" s="31"/>
      <x:c r="V433" s="31"/>
      <x:c r="W433" s="31"/>
    </x:row>
    <x:row r="434">
      <x:c r="A434" s="28"/>
      <x:c r="B434" s="28"/>
      <x:c r="C434" s="28"/>
      <x:c r="D434" s="28"/>
      <x:c r="E434" s="29"/>
      <x:c r="F434" s="29"/>
      <x:c r="G434" s="29"/>
      <x:c r="H434" s="29"/>
      <x:c r="I434" s="28"/>
      <x:c r="J434" s="30"/>
      <x:c r="K434" s="30"/>
      <x:c r="L434" s="28"/>
      <x:c r="M434" s="28"/>
      <x:c r="N434" s="31"/>
      <x:c r="O434" s="31"/>
      <x:c r="P434" s="31"/>
      <x:c r="Q434" s="31"/>
      <x:c r="R434" s="31"/>
      <x:c r="S434" s="31"/>
      <x:c r="T434" s="31"/>
      <x:c r="U434" s="31"/>
      <x:c r="V434" s="31"/>
      <x:c r="W434" s="31"/>
    </x:row>
    <x:row r="435">
      <x:c r="A435" s="28"/>
      <x:c r="B435" s="28"/>
      <x:c r="C435" s="28"/>
      <x:c r="D435" s="28"/>
      <x:c r="E435" s="29"/>
      <x:c r="F435" s="29"/>
      <x:c r="G435" s="29"/>
      <x:c r="H435" s="29"/>
      <x:c r="I435" s="28"/>
      <x:c r="J435" s="30"/>
      <x:c r="K435" s="30"/>
      <x:c r="L435" s="28"/>
      <x:c r="M435" s="28"/>
      <x:c r="N435" s="31"/>
      <x:c r="O435" s="31"/>
      <x:c r="P435" s="31"/>
      <x:c r="Q435" s="31"/>
      <x:c r="R435" s="31"/>
      <x:c r="S435" s="31"/>
      <x:c r="T435" s="31"/>
      <x:c r="U435" s="31"/>
      <x:c r="V435" s="31"/>
      <x:c r="W435" s="31"/>
    </x:row>
    <x:row r="436">
      <x:c r="A436" s="28"/>
      <x:c r="B436" s="28"/>
      <x:c r="C436" s="28"/>
      <x:c r="D436" s="28"/>
      <x:c r="E436" s="29"/>
      <x:c r="F436" s="29"/>
      <x:c r="G436" s="29"/>
      <x:c r="H436" s="29"/>
      <x:c r="I436" s="28"/>
      <x:c r="J436" s="30"/>
      <x:c r="K436" s="30"/>
      <x:c r="L436" s="28"/>
      <x:c r="M436" s="28"/>
      <x:c r="N436" s="31"/>
      <x:c r="O436" s="31"/>
      <x:c r="P436" s="31"/>
      <x:c r="Q436" s="31"/>
      <x:c r="R436" s="31"/>
      <x:c r="S436" s="31"/>
      <x:c r="T436" s="31"/>
      <x:c r="U436" s="31"/>
      <x:c r="V436" s="31"/>
      <x:c r="W436" s="31"/>
    </x:row>
    <x:row r="437">
      <x:c r="A437" s="28"/>
      <x:c r="B437" s="28"/>
      <x:c r="C437" s="28"/>
      <x:c r="D437" s="28"/>
      <x:c r="E437" s="29"/>
      <x:c r="F437" s="29"/>
      <x:c r="G437" s="29"/>
      <x:c r="H437" s="29"/>
      <x:c r="I437" s="28"/>
      <x:c r="J437" s="30"/>
      <x:c r="K437" s="30"/>
      <x:c r="L437" s="28"/>
      <x:c r="M437" s="28"/>
      <x:c r="N437" s="31"/>
      <x:c r="O437" s="31"/>
      <x:c r="P437" s="31"/>
      <x:c r="Q437" s="31"/>
      <x:c r="R437" s="31"/>
      <x:c r="S437" s="31"/>
      <x:c r="T437" s="31"/>
      <x:c r="U437" s="31"/>
      <x:c r="V437" s="31"/>
      <x:c r="W437" s="31"/>
    </x:row>
    <x:row r="438">
      <x:c r="A438" s="28"/>
      <x:c r="B438" s="28"/>
      <x:c r="C438" s="28"/>
      <x:c r="D438" s="28"/>
      <x:c r="E438" s="29"/>
      <x:c r="F438" s="29"/>
      <x:c r="G438" s="29"/>
      <x:c r="H438" s="29"/>
      <x:c r="I438" s="28"/>
      <x:c r="J438" s="30"/>
      <x:c r="K438" s="30"/>
      <x:c r="L438" s="28"/>
      <x:c r="M438" s="28"/>
      <x:c r="N438" s="31"/>
      <x:c r="O438" s="31"/>
      <x:c r="P438" s="31"/>
      <x:c r="Q438" s="31"/>
      <x:c r="R438" s="31"/>
      <x:c r="S438" s="31"/>
      <x:c r="T438" s="31"/>
      <x:c r="U438" s="31"/>
      <x:c r="V438" s="31"/>
      <x:c r="W438" s="31"/>
    </x:row>
    <x:row r="439">
      <x:c r="A439" s="28"/>
      <x:c r="B439" s="28"/>
      <x:c r="C439" s="28"/>
      <x:c r="D439" s="28"/>
      <x:c r="E439" s="29"/>
      <x:c r="F439" s="29"/>
      <x:c r="G439" s="29"/>
      <x:c r="H439" s="29"/>
      <x:c r="I439" s="28"/>
      <x:c r="J439" s="30"/>
      <x:c r="K439" s="30"/>
      <x:c r="L439" s="28"/>
      <x:c r="M439" s="28"/>
      <x:c r="N439" s="31"/>
      <x:c r="O439" s="31"/>
      <x:c r="P439" s="31"/>
      <x:c r="Q439" s="31"/>
      <x:c r="R439" s="31"/>
      <x:c r="S439" s="31"/>
      <x:c r="T439" s="31"/>
      <x:c r="U439" s="31"/>
      <x:c r="V439" s="31"/>
      <x:c r="W439" s="31"/>
    </x:row>
    <x:row r="440">
      <x:c r="A440" s="28"/>
      <x:c r="B440" s="28"/>
      <x:c r="C440" s="28"/>
      <x:c r="D440" s="28"/>
      <x:c r="E440" s="29"/>
      <x:c r="F440" s="29"/>
      <x:c r="G440" s="29"/>
      <x:c r="H440" s="29"/>
      <x:c r="I440" s="28"/>
      <x:c r="J440" s="30"/>
      <x:c r="K440" s="30"/>
      <x:c r="L440" s="28"/>
      <x:c r="M440" s="28"/>
      <x:c r="N440" s="31"/>
      <x:c r="O440" s="31"/>
      <x:c r="P440" s="31"/>
      <x:c r="Q440" s="31"/>
      <x:c r="R440" s="31"/>
      <x:c r="S440" s="31"/>
      <x:c r="T440" s="31"/>
      <x:c r="U440" s="31"/>
      <x:c r="V440" s="31"/>
      <x:c r="W440" s="31"/>
    </x:row>
    <x:row r="441">
      <x:c r="A441" s="28"/>
      <x:c r="B441" s="28"/>
      <x:c r="C441" s="28"/>
      <x:c r="D441" s="28"/>
      <x:c r="E441" s="29"/>
      <x:c r="F441" s="29"/>
      <x:c r="G441" s="29"/>
      <x:c r="H441" s="29"/>
      <x:c r="I441" s="28"/>
      <x:c r="J441" s="30"/>
      <x:c r="K441" s="30"/>
      <x:c r="L441" s="28"/>
      <x:c r="M441" s="28"/>
      <x:c r="N441" s="31"/>
      <x:c r="O441" s="31"/>
      <x:c r="P441" s="31"/>
      <x:c r="Q441" s="31"/>
      <x:c r="R441" s="31"/>
      <x:c r="S441" s="31"/>
      <x:c r="T441" s="31"/>
      <x:c r="U441" s="31"/>
      <x:c r="V441" s="31"/>
      <x:c r="W441" s="31"/>
    </x:row>
    <x:row r="442">
      <x:c r="A442" s="28"/>
      <x:c r="B442" s="28"/>
      <x:c r="C442" s="28"/>
      <x:c r="D442" s="28"/>
      <x:c r="E442" s="29"/>
      <x:c r="F442" s="29"/>
      <x:c r="G442" s="29"/>
      <x:c r="H442" s="29"/>
      <x:c r="I442" s="28"/>
      <x:c r="J442" s="30"/>
      <x:c r="K442" s="30"/>
      <x:c r="L442" s="28"/>
      <x:c r="M442" s="28"/>
      <x:c r="N442" s="31"/>
      <x:c r="O442" s="31"/>
      <x:c r="P442" s="31"/>
      <x:c r="Q442" s="31"/>
      <x:c r="R442" s="31"/>
      <x:c r="S442" s="31"/>
      <x:c r="T442" s="31"/>
      <x:c r="U442" s="31"/>
      <x:c r="V442" s="31"/>
      <x:c r="W442" s="31"/>
    </x:row>
    <x:row r="443">
      <x:c r="A443" s="28"/>
      <x:c r="B443" s="28"/>
      <x:c r="C443" s="28"/>
      <x:c r="D443" s="28"/>
      <x:c r="E443" s="29"/>
      <x:c r="F443" s="29"/>
      <x:c r="G443" s="29"/>
      <x:c r="H443" s="29"/>
      <x:c r="I443" s="28"/>
      <x:c r="J443" s="30"/>
      <x:c r="K443" s="30"/>
      <x:c r="L443" s="28"/>
      <x:c r="M443" s="28"/>
      <x:c r="N443" s="31"/>
      <x:c r="O443" s="31"/>
      <x:c r="P443" s="31"/>
      <x:c r="Q443" s="31"/>
      <x:c r="R443" s="31"/>
      <x:c r="S443" s="31"/>
      <x:c r="T443" s="31"/>
      <x:c r="U443" s="31"/>
      <x:c r="V443" s="31"/>
      <x:c r="W443" s="31"/>
    </x:row>
    <x:row r="444">
      <x:c r="A444" s="28"/>
      <x:c r="B444" s="28"/>
      <x:c r="C444" s="28"/>
      <x:c r="D444" s="28"/>
      <x:c r="E444" s="29"/>
      <x:c r="F444" s="29"/>
      <x:c r="G444" s="29"/>
      <x:c r="H444" s="29"/>
      <x:c r="I444" s="28"/>
      <x:c r="J444" s="30"/>
      <x:c r="K444" s="30"/>
      <x:c r="L444" s="28"/>
      <x:c r="M444" s="28"/>
      <x:c r="N444" s="31"/>
      <x:c r="O444" s="31"/>
      <x:c r="P444" s="31"/>
      <x:c r="Q444" s="31"/>
      <x:c r="R444" s="31"/>
      <x:c r="S444" s="31"/>
      <x:c r="T444" s="31"/>
      <x:c r="U444" s="31"/>
      <x:c r="V444" s="31"/>
      <x:c r="W444" s="31"/>
    </x:row>
    <x:row r="445">
      <x:c r="A445" s="28"/>
      <x:c r="B445" s="28"/>
      <x:c r="C445" s="28"/>
      <x:c r="D445" s="28"/>
      <x:c r="E445" s="29"/>
      <x:c r="F445" s="29"/>
      <x:c r="G445" s="29"/>
      <x:c r="H445" s="29"/>
      <x:c r="I445" s="28"/>
      <x:c r="J445" s="30"/>
      <x:c r="K445" s="30"/>
      <x:c r="L445" s="28"/>
      <x:c r="M445" s="28"/>
      <x:c r="N445" s="31"/>
      <x:c r="O445" s="31"/>
      <x:c r="P445" s="31"/>
      <x:c r="Q445" s="31"/>
      <x:c r="R445" s="31"/>
      <x:c r="S445" s="31"/>
      <x:c r="T445" s="31"/>
      <x:c r="U445" s="31"/>
      <x:c r="V445" s="31"/>
      <x:c r="W445" s="31"/>
    </x:row>
    <x:row r="446">
      <x:c r="A446" s="28"/>
      <x:c r="B446" s="28"/>
      <x:c r="C446" s="28"/>
      <x:c r="D446" s="28"/>
      <x:c r="E446" s="29"/>
      <x:c r="F446" s="29"/>
      <x:c r="G446" s="29"/>
      <x:c r="H446" s="29"/>
      <x:c r="I446" s="28"/>
      <x:c r="J446" s="30"/>
      <x:c r="K446" s="30"/>
      <x:c r="L446" s="28"/>
      <x:c r="M446" s="28"/>
      <x:c r="N446" s="31"/>
      <x:c r="O446" s="31"/>
      <x:c r="P446" s="31"/>
      <x:c r="Q446" s="31"/>
      <x:c r="R446" s="31"/>
      <x:c r="S446" s="31"/>
      <x:c r="T446" s="31"/>
      <x:c r="U446" s="31"/>
      <x:c r="V446" s="31"/>
      <x:c r="W446" s="31"/>
    </x:row>
    <x:row r="447">
      <x:c r="A447" s="28"/>
      <x:c r="B447" s="28"/>
      <x:c r="C447" s="28"/>
      <x:c r="D447" s="28"/>
      <x:c r="E447" s="29"/>
      <x:c r="F447" s="29"/>
      <x:c r="G447" s="29"/>
      <x:c r="H447" s="29"/>
      <x:c r="I447" s="28"/>
      <x:c r="J447" s="30"/>
      <x:c r="K447" s="30"/>
      <x:c r="L447" s="28"/>
      <x:c r="M447" s="28"/>
      <x:c r="N447" s="31"/>
      <x:c r="O447" s="31"/>
      <x:c r="P447" s="31"/>
      <x:c r="Q447" s="31"/>
      <x:c r="R447" s="31"/>
      <x:c r="S447" s="31"/>
      <x:c r="T447" s="31"/>
      <x:c r="U447" s="31"/>
      <x:c r="V447" s="31"/>
      <x:c r="W447" s="31"/>
    </x:row>
    <x:row r="448">
      <x:c r="A448" s="28"/>
      <x:c r="B448" s="28"/>
      <x:c r="C448" s="28"/>
      <x:c r="D448" s="28"/>
      <x:c r="E448" s="29"/>
      <x:c r="F448" s="29"/>
      <x:c r="G448" s="29"/>
      <x:c r="H448" s="29"/>
      <x:c r="I448" s="28"/>
      <x:c r="J448" s="30"/>
      <x:c r="K448" s="30"/>
      <x:c r="L448" s="28"/>
      <x:c r="M448" s="28"/>
      <x:c r="N448" s="31"/>
      <x:c r="O448" s="31"/>
      <x:c r="P448" s="31"/>
      <x:c r="Q448" s="31"/>
      <x:c r="R448" s="31"/>
      <x:c r="S448" s="31"/>
      <x:c r="T448" s="31"/>
      <x:c r="U448" s="31"/>
      <x:c r="V448" s="31"/>
      <x:c r="W448" s="31"/>
    </x:row>
    <x:row r="449">
      <x:c r="A449" s="28"/>
      <x:c r="B449" s="28"/>
      <x:c r="C449" s="28"/>
      <x:c r="D449" s="28"/>
      <x:c r="E449" s="29"/>
      <x:c r="F449" s="29"/>
      <x:c r="G449" s="29"/>
      <x:c r="H449" s="29"/>
      <x:c r="I449" s="28"/>
      <x:c r="J449" s="30"/>
      <x:c r="K449" s="30"/>
      <x:c r="L449" s="28"/>
      <x:c r="M449" s="28"/>
      <x:c r="N449" s="31"/>
      <x:c r="O449" s="31"/>
      <x:c r="P449" s="31"/>
      <x:c r="Q449" s="31"/>
      <x:c r="R449" s="31"/>
      <x:c r="S449" s="31"/>
      <x:c r="T449" s="31"/>
      <x:c r="U449" s="31"/>
      <x:c r="V449" s="31"/>
      <x:c r="W449" s="31"/>
    </x:row>
    <x:row r="450">
      <x:c r="A450" s="28"/>
      <x:c r="B450" s="28"/>
      <x:c r="C450" s="28"/>
      <x:c r="D450" s="28"/>
      <x:c r="E450" s="29"/>
      <x:c r="F450" s="29"/>
      <x:c r="G450" s="29"/>
      <x:c r="H450" s="29"/>
      <x:c r="I450" s="28"/>
      <x:c r="J450" s="30"/>
      <x:c r="K450" s="30"/>
      <x:c r="L450" s="28"/>
      <x:c r="M450" s="28"/>
      <x:c r="N450" s="31"/>
      <x:c r="O450" s="31"/>
      <x:c r="P450" s="31"/>
      <x:c r="Q450" s="31"/>
      <x:c r="R450" s="31"/>
      <x:c r="S450" s="31"/>
      <x:c r="T450" s="31"/>
      <x:c r="U450" s="31"/>
      <x:c r="V450" s="31"/>
      <x:c r="W450" s="31"/>
    </x:row>
    <x:row r="451">
      <x:c r="A451" s="28"/>
      <x:c r="B451" s="28"/>
      <x:c r="C451" s="28"/>
      <x:c r="D451" s="28"/>
      <x:c r="E451" s="29"/>
      <x:c r="F451" s="29"/>
      <x:c r="G451" s="29"/>
      <x:c r="H451" s="29"/>
      <x:c r="I451" s="28"/>
      <x:c r="J451" s="30"/>
      <x:c r="K451" s="30"/>
      <x:c r="L451" s="28"/>
      <x:c r="M451" s="28"/>
      <x:c r="N451" s="31"/>
      <x:c r="O451" s="31"/>
      <x:c r="P451" s="31"/>
      <x:c r="Q451" s="31"/>
      <x:c r="R451" s="31"/>
      <x:c r="S451" s="31"/>
      <x:c r="T451" s="31"/>
      <x:c r="U451" s="31"/>
      <x:c r="V451" s="31"/>
      <x:c r="W451" s="31"/>
    </x:row>
    <x:row r="452">
      <x:c r="A452" s="28"/>
      <x:c r="B452" s="28"/>
      <x:c r="C452" s="28"/>
      <x:c r="D452" s="28"/>
      <x:c r="E452" s="29"/>
      <x:c r="F452" s="29"/>
      <x:c r="G452" s="29"/>
      <x:c r="H452" s="29"/>
      <x:c r="I452" s="28"/>
      <x:c r="J452" s="30"/>
      <x:c r="K452" s="30"/>
      <x:c r="L452" s="28"/>
      <x:c r="M452" s="28"/>
      <x:c r="N452" s="31"/>
      <x:c r="O452" s="31"/>
      <x:c r="P452" s="31"/>
      <x:c r="Q452" s="31"/>
      <x:c r="R452" s="31"/>
      <x:c r="S452" s="31"/>
      <x:c r="T452" s="31"/>
      <x:c r="U452" s="31"/>
      <x:c r="V452" s="31"/>
      <x:c r="W452" s="31"/>
    </x:row>
    <x:row r="453">
      <x:c r="A453" s="28"/>
      <x:c r="B453" s="28"/>
      <x:c r="C453" s="28"/>
      <x:c r="D453" s="28"/>
      <x:c r="E453" s="29"/>
      <x:c r="F453" s="29"/>
      <x:c r="G453" s="29"/>
      <x:c r="H453" s="29"/>
      <x:c r="I453" s="28"/>
      <x:c r="J453" s="30"/>
      <x:c r="K453" s="30"/>
      <x:c r="L453" s="28"/>
      <x:c r="M453" s="28"/>
      <x:c r="N453" s="31"/>
      <x:c r="O453" s="31"/>
      <x:c r="P453" s="31"/>
      <x:c r="Q453" s="31"/>
      <x:c r="R453" s="31"/>
      <x:c r="S453" s="31"/>
      <x:c r="T453" s="31"/>
      <x:c r="U453" s="31"/>
      <x:c r="V453" s="31"/>
      <x:c r="W453" s="31"/>
    </x:row>
    <x:row r="454">
      <x:c r="A454" s="28"/>
      <x:c r="B454" s="28"/>
      <x:c r="C454" s="28"/>
      <x:c r="D454" s="28"/>
      <x:c r="E454" s="29"/>
      <x:c r="F454" s="29"/>
      <x:c r="G454" s="29"/>
      <x:c r="H454" s="29"/>
      <x:c r="I454" s="28"/>
      <x:c r="J454" s="30"/>
      <x:c r="K454" s="30"/>
      <x:c r="L454" s="28"/>
      <x:c r="M454" s="28"/>
      <x:c r="N454" s="31"/>
      <x:c r="O454" s="31"/>
      <x:c r="P454" s="31"/>
      <x:c r="Q454" s="31"/>
      <x:c r="R454" s="31"/>
      <x:c r="S454" s="31"/>
      <x:c r="T454" s="31"/>
      <x:c r="U454" s="31"/>
      <x:c r="V454" s="31"/>
      <x:c r="W454" s="31"/>
    </x:row>
    <x:row r="455">
      <x:c r="A455" s="28"/>
      <x:c r="B455" s="28"/>
      <x:c r="C455" s="28"/>
      <x:c r="D455" s="28"/>
      <x:c r="E455" s="29"/>
      <x:c r="F455" s="29"/>
      <x:c r="G455" s="29"/>
      <x:c r="H455" s="29"/>
      <x:c r="I455" s="28"/>
      <x:c r="J455" s="30"/>
      <x:c r="K455" s="30"/>
      <x:c r="L455" s="28"/>
      <x:c r="M455" s="28"/>
      <x:c r="N455" s="31"/>
      <x:c r="O455" s="31"/>
      <x:c r="P455" s="31"/>
      <x:c r="Q455" s="31"/>
      <x:c r="R455" s="31"/>
      <x:c r="S455" s="31"/>
      <x:c r="T455" s="31"/>
      <x:c r="U455" s="31"/>
      <x:c r="V455" s="31"/>
      <x:c r="W455" s="31"/>
    </x:row>
    <x:row r="456">
      <x:c r="A456" s="28"/>
      <x:c r="B456" s="28"/>
      <x:c r="C456" s="28"/>
      <x:c r="D456" s="28"/>
      <x:c r="E456" s="29"/>
      <x:c r="F456" s="29"/>
      <x:c r="G456" s="29"/>
      <x:c r="H456" s="29"/>
      <x:c r="I456" s="28"/>
      <x:c r="J456" s="30"/>
      <x:c r="K456" s="30"/>
      <x:c r="L456" s="28"/>
      <x:c r="M456" s="28"/>
      <x:c r="N456" s="31"/>
      <x:c r="O456" s="31"/>
      <x:c r="P456" s="31"/>
      <x:c r="Q456" s="31"/>
      <x:c r="R456" s="31"/>
      <x:c r="S456" s="31"/>
      <x:c r="T456" s="31"/>
      <x:c r="U456" s="31"/>
      <x:c r="V456" s="31"/>
      <x:c r="W456" s="31"/>
    </x:row>
    <x:row r="457">
      <x:c r="A457" s="28"/>
      <x:c r="B457" s="28"/>
      <x:c r="C457" s="28"/>
      <x:c r="D457" s="28"/>
      <x:c r="E457" s="29"/>
      <x:c r="F457" s="29"/>
      <x:c r="G457" s="29"/>
      <x:c r="H457" s="29"/>
      <x:c r="I457" s="28"/>
      <x:c r="J457" s="30"/>
      <x:c r="K457" s="30"/>
      <x:c r="L457" s="28"/>
      <x:c r="M457" s="28"/>
      <x:c r="N457" s="31"/>
      <x:c r="O457" s="31"/>
      <x:c r="P457" s="31"/>
      <x:c r="Q457" s="31"/>
      <x:c r="R457" s="31"/>
      <x:c r="S457" s="31"/>
      <x:c r="T457" s="31"/>
      <x:c r="U457" s="31"/>
      <x:c r="V457" s="31"/>
      <x:c r="W457" s="31"/>
    </x:row>
    <x:row r="458">
      <x:c r="A458" s="28"/>
      <x:c r="B458" s="28"/>
      <x:c r="C458" s="28"/>
      <x:c r="D458" s="28"/>
      <x:c r="E458" s="29"/>
      <x:c r="F458" s="29"/>
      <x:c r="G458" s="29"/>
      <x:c r="H458" s="29"/>
      <x:c r="I458" s="28"/>
      <x:c r="J458" s="30"/>
      <x:c r="K458" s="30"/>
      <x:c r="L458" s="28"/>
      <x:c r="M458" s="28"/>
      <x:c r="N458" s="31"/>
      <x:c r="O458" s="31"/>
      <x:c r="P458" s="31"/>
      <x:c r="Q458" s="31"/>
      <x:c r="R458" s="31"/>
      <x:c r="S458" s="31"/>
      <x:c r="T458" s="31"/>
      <x:c r="U458" s="31"/>
      <x:c r="V458" s="31"/>
      <x:c r="W458" s="31"/>
    </x:row>
    <x:row r="459">
      <x:c r="A459" s="28"/>
      <x:c r="B459" s="28"/>
      <x:c r="C459" s="28"/>
      <x:c r="D459" s="28"/>
      <x:c r="E459" s="29"/>
      <x:c r="F459" s="29"/>
      <x:c r="G459" s="29"/>
      <x:c r="H459" s="29"/>
      <x:c r="I459" s="28"/>
      <x:c r="J459" s="30"/>
      <x:c r="K459" s="30"/>
      <x:c r="L459" s="28"/>
      <x:c r="M459" s="28"/>
      <x:c r="N459" s="31"/>
      <x:c r="O459" s="31"/>
      <x:c r="P459" s="31"/>
      <x:c r="Q459" s="31"/>
      <x:c r="R459" s="31"/>
      <x:c r="S459" s="31"/>
      <x:c r="T459" s="31"/>
      <x:c r="U459" s="31"/>
      <x:c r="V459" s="31"/>
      <x:c r="W459" s="31"/>
    </x:row>
    <x:row r="460">
      <x:c r="A460" s="28"/>
      <x:c r="B460" s="28"/>
      <x:c r="C460" s="28"/>
      <x:c r="D460" s="28"/>
      <x:c r="E460" s="29"/>
      <x:c r="F460" s="29"/>
      <x:c r="G460" s="29"/>
      <x:c r="H460" s="29"/>
      <x:c r="I460" s="28"/>
      <x:c r="J460" s="30"/>
      <x:c r="K460" s="30"/>
      <x:c r="L460" s="28"/>
      <x:c r="M460" s="28"/>
      <x:c r="N460" s="31"/>
      <x:c r="O460" s="31"/>
      <x:c r="P460" s="31"/>
      <x:c r="Q460" s="31"/>
      <x:c r="R460" s="31"/>
      <x:c r="S460" s="31"/>
      <x:c r="T460" s="31"/>
      <x:c r="U460" s="31"/>
      <x:c r="V460" s="31"/>
      <x:c r="W460" s="31"/>
    </x:row>
    <x:row r="461">
      <x:c r="A461" s="28"/>
      <x:c r="B461" s="28"/>
      <x:c r="C461" s="28"/>
      <x:c r="D461" s="28"/>
      <x:c r="E461" s="29"/>
      <x:c r="F461" s="29"/>
      <x:c r="G461" s="29"/>
      <x:c r="H461" s="29"/>
      <x:c r="I461" s="28"/>
      <x:c r="J461" s="30"/>
      <x:c r="K461" s="30"/>
      <x:c r="L461" s="28"/>
      <x:c r="M461" s="28"/>
      <x:c r="N461" s="31"/>
      <x:c r="O461" s="31"/>
      <x:c r="P461" s="31"/>
      <x:c r="Q461" s="31"/>
      <x:c r="R461" s="31"/>
      <x:c r="S461" s="31"/>
      <x:c r="T461" s="31"/>
      <x:c r="U461" s="31"/>
      <x:c r="V461" s="31"/>
      <x:c r="W461" s="31"/>
    </x:row>
    <x:row r="462">
      <x:c r="A462" s="28"/>
      <x:c r="B462" s="28"/>
      <x:c r="C462" s="28"/>
      <x:c r="D462" s="28"/>
      <x:c r="E462" s="29"/>
      <x:c r="F462" s="29"/>
      <x:c r="G462" s="29"/>
      <x:c r="H462" s="29"/>
      <x:c r="I462" s="28"/>
      <x:c r="J462" s="30"/>
      <x:c r="K462" s="30"/>
      <x:c r="L462" s="28"/>
      <x:c r="M462" s="28"/>
      <x:c r="N462" s="31"/>
      <x:c r="O462" s="31"/>
      <x:c r="P462" s="31"/>
      <x:c r="Q462" s="31"/>
      <x:c r="R462" s="31"/>
      <x:c r="S462" s="31"/>
      <x:c r="T462" s="31"/>
      <x:c r="U462" s="31"/>
      <x:c r="V462" s="31"/>
      <x:c r="W462" s="31"/>
    </x:row>
    <x:row r="463">
      <x:c r="A463" s="28"/>
      <x:c r="B463" s="28"/>
      <x:c r="C463" s="28"/>
      <x:c r="D463" s="28"/>
      <x:c r="E463" s="29"/>
      <x:c r="F463" s="29"/>
      <x:c r="G463" s="29"/>
      <x:c r="H463" s="29"/>
      <x:c r="I463" s="28"/>
      <x:c r="J463" s="30"/>
      <x:c r="K463" s="30"/>
      <x:c r="L463" s="28"/>
      <x:c r="M463" s="28"/>
      <x:c r="N463" s="31"/>
      <x:c r="O463" s="31"/>
      <x:c r="P463" s="31"/>
      <x:c r="Q463" s="31"/>
      <x:c r="R463" s="31"/>
      <x:c r="S463" s="31"/>
      <x:c r="T463" s="31"/>
      <x:c r="U463" s="31"/>
      <x:c r="V463" s="31"/>
      <x:c r="W463" s="31"/>
    </x:row>
    <x:row r="464">
      <x:c r="A464" s="28"/>
      <x:c r="B464" s="28"/>
      <x:c r="C464" s="28"/>
      <x:c r="D464" s="28"/>
      <x:c r="E464" s="29"/>
      <x:c r="F464" s="29"/>
      <x:c r="G464" s="29"/>
      <x:c r="H464" s="29"/>
      <x:c r="I464" s="28"/>
      <x:c r="J464" s="30"/>
      <x:c r="K464" s="30"/>
      <x:c r="L464" s="28"/>
      <x:c r="M464" s="28"/>
      <x:c r="N464" s="31"/>
      <x:c r="O464" s="31"/>
      <x:c r="P464" s="31"/>
      <x:c r="Q464" s="31"/>
      <x:c r="R464" s="31"/>
      <x:c r="S464" s="31"/>
      <x:c r="T464" s="31"/>
      <x:c r="U464" s="31"/>
      <x:c r="V464" s="31"/>
      <x:c r="W464" s="31"/>
    </x:row>
    <x:row r="465">
      <x:c r="A465" s="28"/>
      <x:c r="B465" s="28"/>
      <x:c r="C465" s="28"/>
      <x:c r="D465" s="28"/>
      <x:c r="E465" s="29"/>
      <x:c r="F465" s="29"/>
      <x:c r="G465" s="29"/>
      <x:c r="H465" s="29"/>
      <x:c r="I465" s="28"/>
      <x:c r="J465" s="30"/>
      <x:c r="K465" s="30"/>
      <x:c r="L465" s="28"/>
      <x:c r="M465" s="28"/>
      <x:c r="N465" s="31"/>
      <x:c r="O465" s="31"/>
      <x:c r="P465" s="31"/>
      <x:c r="Q465" s="31"/>
      <x:c r="R465" s="31"/>
      <x:c r="S465" s="31"/>
      <x:c r="T465" s="31"/>
      <x:c r="U465" s="31"/>
      <x:c r="V465" s="31"/>
      <x:c r="W465" s="31"/>
    </x:row>
    <x:row r="466">
      <x:c r="A466" s="28"/>
      <x:c r="B466" s="28"/>
      <x:c r="C466" s="28"/>
      <x:c r="D466" s="28"/>
      <x:c r="E466" s="29"/>
      <x:c r="F466" s="29"/>
      <x:c r="G466" s="29"/>
      <x:c r="H466" s="29"/>
      <x:c r="I466" s="28"/>
      <x:c r="J466" s="30"/>
      <x:c r="K466" s="30"/>
      <x:c r="L466" s="28"/>
      <x:c r="M466" s="28"/>
      <x:c r="N466" s="31"/>
      <x:c r="O466" s="31"/>
      <x:c r="P466" s="31"/>
      <x:c r="Q466" s="31"/>
      <x:c r="R466" s="31"/>
      <x:c r="S466" s="31"/>
      <x:c r="T466" s="31"/>
      <x:c r="U466" s="31"/>
      <x:c r="V466" s="31"/>
      <x:c r="W466" s="31"/>
    </x:row>
    <x:row r="467">
      <x:c r="A467" s="28"/>
      <x:c r="B467" s="28"/>
      <x:c r="C467" s="28"/>
      <x:c r="D467" s="28"/>
      <x:c r="E467" s="29"/>
      <x:c r="F467" s="29"/>
      <x:c r="G467" s="29"/>
      <x:c r="H467" s="29"/>
      <x:c r="I467" s="28"/>
      <x:c r="J467" s="30"/>
      <x:c r="K467" s="30"/>
      <x:c r="L467" s="28"/>
      <x:c r="M467" s="28"/>
      <x:c r="N467" s="31"/>
      <x:c r="O467" s="31"/>
      <x:c r="P467" s="31"/>
      <x:c r="Q467" s="31"/>
      <x:c r="R467" s="31"/>
      <x:c r="S467" s="31"/>
      <x:c r="T467" s="31"/>
      <x:c r="U467" s="31"/>
      <x:c r="V467" s="31"/>
      <x:c r="W467" s="31"/>
    </x:row>
    <x:row r="468">
      <x:c r="A468" s="28"/>
      <x:c r="B468" s="28"/>
      <x:c r="C468" s="28"/>
      <x:c r="D468" s="28"/>
      <x:c r="E468" s="29"/>
      <x:c r="F468" s="29"/>
      <x:c r="G468" s="29"/>
      <x:c r="H468" s="29"/>
      <x:c r="I468" s="28"/>
      <x:c r="J468" s="30"/>
      <x:c r="K468" s="30"/>
      <x:c r="L468" s="28"/>
      <x:c r="M468" s="28"/>
      <x:c r="N468" s="31"/>
      <x:c r="O468" s="31"/>
      <x:c r="P468" s="31"/>
      <x:c r="Q468" s="31"/>
      <x:c r="R468" s="31"/>
      <x:c r="S468" s="31"/>
      <x:c r="T468" s="31"/>
      <x:c r="U468" s="31"/>
      <x:c r="V468" s="31"/>
      <x:c r="W468" s="31"/>
    </x:row>
    <x:row r="469">
      <x:c r="A469" s="28"/>
      <x:c r="B469" s="28"/>
      <x:c r="C469" s="28"/>
      <x:c r="D469" s="28"/>
      <x:c r="E469" s="29"/>
      <x:c r="F469" s="29"/>
      <x:c r="G469" s="29"/>
      <x:c r="H469" s="29"/>
      <x:c r="I469" s="28"/>
      <x:c r="J469" s="30"/>
      <x:c r="K469" s="30"/>
      <x:c r="L469" s="28"/>
      <x:c r="M469" s="28"/>
      <x:c r="N469" s="31"/>
      <x:c r="O469" s="31"/>
      <x:c r="P469" s="31"/>
      <x:c r="Q469" s="31"/>
      <x:c r="R469" s="31"/>
      <x:c r="S469" s="31"/>
      <x:c r="T469" s="31"/>
      <x:c r="U469" s="31"/>
      <x:c r="V469" s="31"/>
      <x:c r="W469" s="31"/>
    </x:row>
    <x:row r="470">
      <x:c r="A470" s="28"/>
      <x:c r="B470" s="28"/>
      <x:c r="C470" s="28"/>
      <x:c r="D470" s="28"/>
      <x:c r="E470" s="29"/>
      <x:c r="F470" s="29"/>
      <x:c r="G470" s="29"/>
      <x:c r="H470" s="29"/>
      <x:c r="I470" s="28"/>
      <x:c r="J470" s="30"/>
      <x:c r="K470" s="30"/>
      <x:c r="L470" s="28"/>
      <x:c r="M470" s="28"/>
      <x:c r="N470" s="31"/>
      <x:c r="O470" s="31"/>
      <x:c r="P470" s="31"/>
      <x:c r="Q470" s="31"/>
      <x:c r="R470" s="31"/>
      <x:c r="S470" s="31"/>
      <x:c r="T470" s="31"/>
      <x:c r="U470" s="31"/>
      <x:c r="V470" s="31"/>
      <x:c r="W470" s="31"/>
    </x:row>
    <x:row r="471">
      <x:c r="A471" s="28"/>
      <x:c r="B471" s="28"/>
      <x:c r="C471" s="28"/>
      <x:c r="D471" s="28"/>
      <x:c r="E471" s="29"/>
      <x:c r="F471" s="29"/>
      <x:c r="G471" s="29"/>
      <x:c r="H471" s="29"/>
      <x:c r="I471" s="28"/>
      <x:c r="J471" s="30"/>
      <x:c r="K471" s="30"/>
      <x:c r="L471" s="28"/>
      <x:c r="M471" s="28"/>
      <x:c r="N471" s="31"/>
      <x:c r="O471" s="31"/>
      <x:c r="P471" s="31"/>
      <x:c r="Q471" s="31"/>
      <x:c r="R471" s="31"/>
      <x:c r="S471" s="31"/>
      <x:c r="T471" s="31"/>
      <x:c r="U471" s="31"/>
      <x:c r="V471" s="31"/>
      <x:c r="W471" s="31"/>
    </x:row>
    <x:row r="472">
      <x:c r="A472" s="28"/>
      <x:c r="B472" s="28"/>
      <x:c r="C472" s="28"/>
      <x:c r="D472" s="28"/>
      <x:c r="E472" s="29"/>
      <x:c r="F472" s="29"/>
      <x:c r="G472" s="29"/>
      <x:c r="H472" s="29"/>
      <x:c r="I472" s="28"/>
      <x:c r="J472" s="30"/>
      <x:c r="K472" s="30"/>
      <x:c r="L472" s="28"/>
      <x:c r="M472" s="28"/>
      <x:c r="N472" s="31"/>
      <x:c r="O472" s="31"/>
      <x:c r="P472" s="31"/>
      <x:c r="Q472" s="31"/>
      <x:c r="R472" s="31"/>
      <x:c r="S472" s="31"/>
      <x:c r="T472" s="31"/>
      <x:c r="U472" s="31"/>
      <x:c r="V472" s="31"/>
      <x:c r="W472" s="31"/>
    </x:row>
    <x:row r="473">
      <x:c r="A473" s="28"/>
      <x:c r="B473" s="28"/>
      <x:c r="C473" s="28"/>
      <x:c r="D473" s="28"/>
      <x:c r="E473" s="29"/>
      <x:c r="F473" s="29"/>
      <x:c r="G473" s="29"/>
      <x:c r="H473" s="29"/>
      <x:c r="I473" s="28"/>
      <x:c r="J473" s="30"/>
      <x:c r="K473" s="30"/>
      <x:c r="L473" s="28"/>
      <x:c r="M473" s="28"/>
      <x:c r="N473" s="31"/>
      <x:c r="O473" s="31"/>
      <x:c r="P473" s="31"/>
      <x:c r="Q473" s="31"/>
      <x:c r="R473" s="31"/>
      <x:c r="S473" s="31"/>
      <x:c r="T473" s="31"/>
      <x:c r="U473" s="31"/>
      <x:c r="V473" s="31"/>
      <x:c r="W473" s="31"/>
    </x:row>
    <x:row r="474">
      <x:c r="A474" s="28"/>
      <x:c r="B474" s="28"/>
      <x:c r="C474" s="28"/>
      <x:c r="D474" s="28"/>
      <x:c r="E474" s="29"/>
      <x:c r="F474" s="29"/>
      <x:c r="G474" s="29"/>
      <x:c r="H474" s="29"/>
      <x:c r="I474" s="28"/>
      <x:c r="J474" s="30"/>
      <x:c r="K474" s="30"/>
      <x:c r="L474" s="28"/>
      <x:c r="M474" s="28"/>
      <x:c r="N474" s="31"/>
      <x:c r="O474" s="31"/>
      <x:c r="P474" s="31"/>
      <x:c r="Q474" s="31"/>
      <x:c r="R474" s="31"/>
      <x:c r="S474" s="31"/>
      <x:c r="T474" s="31"/>
      <x:c r="U474" s="31"/>
      <x:c r="V474" s="31"/>
      <x:c r="W474" s="31"/>
    </x:row>
    <x:row r="475">
      <x:c r="A475" s="28"/>
      <x:c r="B475" s="28"/>
      <x:c r="C475" s="28"/>
      <x:c r="D475" s="28"/>
      <x:c r="E475" s="29"/>
      <x:c r="F475" s="29"/>
      <x:c r="G475" s="29"/>
      <x:c r="H475" s="29"/>
      <x:c r="I475" s="28"/>
      <x:c r="J475" s="30"/>
      <x:c r="K475" s="30"/>
      <x:c r="L475" s="28"/>
      <x:c r="M475" s="28"/>
      <x:c r="N475" s="31"/>
      <x:c r="O475" s="31"/>
      <x:c r="P475" s="31"/>
      <x:c r="Q475" s="31"/>
      <x:c r="R475" s="31"/>
      <x:c r="S475" s="31"/>
      <x:c r="T475" s="31"/>
      <x:c r="U475" s="31"/>
      <x:c r="V475" s="31"/>
      <x:c r="W475" s="31"/>
    </x:row>
    <x:row r="476">
      <x:c r="A476" s="28"/>
      <x:c r="B476" s="28"/>
      <x:c r="C476" s="28"/>
      <x:c r="D476" s="28"/>
      <x:c r="E476" s="29"/>
      <x:c r="F476" s="29"/>
      <x:c r="G476" s="29"/>
      <x:c r="H476" s="29"/>
      <x:c r="I476" s="28"/>
      <x:c r="J476" s="30"/>
      <x:c r="K476" s="30"/>
      <x:c r="L476" s="28"/>
      <x:c r="M476" s="28"/>
      <x:c r="N476" s="31"/>
      <x:c r="O476" s="31"/>
      <x:c r="P476" s="31"/>
      <x:c r="Q476" s="31"/>
      <x:c r="R476" s="31"/>
      <x:c r="S476" s="31"/>
      <x:c r="T476" s="31"/>
      <x:c r="U476" s="31"/>
      <x:c r="V476" s="31"/>
      <x:c r="W476" s="31"/>
    </x:row>
    <x:row r="477">
      <x:c r="A477" s="28"/>
      <x:c r="B477" s="28"/>
      <x:c r="C477" s="28"/>
      <x:c r="D477" s="28"/>
      <x:c r="E477" s="29"/>
      <x:c r="F477" s="29"/>
      <x:c r="G477" s="29"/>
      <x:c r="H477" s="29"/>
      <x:c r="I477" s="28"/>
      <x:c r="J477" s="30"/>
      <x:c r="K477" s="30"/>
      <x:c r="L477" s="28"/>
      <x:c r="M477" s="28"/>
      <x:c r="N477" s="31"/>
      <x:c r="O477" s="31"/>
      <x:c r="P477" s="31"/>
      <x:c r="Q477" s="31"/>
      <x:c r="R477" s="31"/>
      <x:c r="S477" s="31"/>
      <x:c r="T477" s="31"/>
      <x:c r="U477" s="31"/>
      <x:c r="V477" s="31"/>
      <x:c r="W477" s="31"/>
    </x:row>
    <x:row r="478">
      <x:c r="A478" s="28"/>
      <x:c r="B478" s="28"/>
      <x:c r="C478" s="28"/>
      <x:c r="D478" s="28"/>
      <x:c r="E478" s="29"/>
      <x:c r="F478" s="29"/>
      <x:c r="G478" s="29"/>
      <x:c r="H478" s="29"/>
      <x:c r="I478" s="28"/>
      <x:c r="J478" s="30"/>
      <x:c r="K478" s="30"/>
      <x:c r="L478" s="28"/>
      <x:c r="M478" s="28"/>
      <x:c r="N478" s="31"/>
      <x:c r="O478" s="31"/>
      <x:c r="P478" s="31"/>
      <x:c r="Q478" s="31"/>
      <x:c r="R478" s="31"/>
      <x:c r="S478" s="31"/>
      <x:c r="T478" s="31"/>
      <x:c r="U478" s="31"/>
      <x:c r="V478" s="31"/>
      <x:c r="W478" s="31"/>
    </x:row>
    <x:row r="479">
      <x:c r="A479" s="28"/>
      <x:c r="B479" s="28"/>
      <x:c r="C479" s="28"/>
      <x:c r="D479" s="28"/>
      <x:c r="E479" s="29"/>
      <x:c r="F479" s="29"/>
      <x:c r="G479" s="29"/>
      <x:c r="H479" s="29"/>
      <x:c r="I479" s="28"/>
      <x:c r="J479" s="30"/>
      <x:c r="K479" s="30"/>
      <x:c r="L479" s="28"/>
      <x:c r="M479" s="28"/>
      <x:c r="N479" s="31"/>
      <x:c r="O479" s="31"/>
      <x:c r="P479" s="31"/>
      <x:c r="Q479" s="31"/>
      <x:c r="R479" s="31"/>
      <x:c r="S479" s="31"/>
      <x:c r="T479" s="31"/>
      <x:c r="U479" s="31"/>
      <x:c r="V479" s="31"/>
      <x:c r="W479" s="31"/>
    </x:row>
    <x:row r="480">
      <x:c r="A480" s="28"/>
      <x:c r="B480" s="28"/>
      <x:c r="C480" s="28"/>
      <x:c r="D480" s="28"/>
      <x:c r="E480" s="29"/>
      <x:c r="F480" s="29"/>
      <x:c r="G480" s="29"/>
      <x:c r="H480" s="29"/>
      <x:c r="I480" s="28"/>
      <x:c r="J480" s="30"/>
      <x:c r="K480" s="30"/>
      <x:c r="L480" s="28"/>
      <x:c r="M480" s="28"/>
      <x:c r="N480" s="31"/>
      <x:c r="O480" s="31"/>
      <x:c r="P480" s="31"/>
      <x:c r="Q480" s="31"/>
      <x:c r="R480" s="31"/>
      <x:c r="S480" s="31"/>
      <x:c r="T480" s="31"/>
      <x:c r="U480" s="31"/>
      <x:c r="V480" s="31"/>
      <x:c r="W480" s="31"/>
    </x:row>
    <x:row r="481">
      <x:c r="A481" s="28"/>
      <x:c r="B481" s="28"/>
      <x:c r="C481" s="28"/>
      <x:c r="D481" s="28"/>
      <x:c r="E481" s="29"/>
      <x:c r="F481" s="29"/>
      <x:c r="G481" s="29"/>
      <x:c r="H481" s="29"/>
      <x:c r="I481" s="28"/>
      <x:c r="J481" s="30"/>
      <x:c r="K481" s="30"/>
      <x:c r="L481" s="28"/>
      <x:c r="M481" s="28"/>
      <x:c r="N481" s="31"/>
      <x:c r="O481" s="31"/>
      <x:c r="P481" s="31"/>
      <x:c r="Q481" s="31"/>
      <x:c r="R481" s="31"/>
      <x:c r="S481" s="31"/>
      <x:c r="T481" s="31"/>
      <x:c r="U481" s="31"/>
      <x:c r="V481" s="31"/>
      <x:c r="W481" s="31"/>
    </x:row>
    <x:row r="482">
      <x:c r="A482" s="28"/>
      <x:c r="B482" s="28"/>
      <x:c r="C482" s="28"/>
      <x:c r="D482" s="28"/>
      <x:c r="E482" s="29"/>
      <x:c r="F482" s="29"/>
      <x:c r="G482" s="29"/>
      <x:c r="H482" s="29"/>
      <x:c r="I482" s="28"/>
      <x:c r="J482" s="30"/>
      <x:c r="K482" s="30"/>
      <x:c r="L482" s="28"/>
      <x:c r="M482" s="28"/>
      <x:c r="N482" s="31"/>
      <x:c r="O482" s="31"/>
      <x:c r="P482" s="31"/>
      <x:c r="Q482" s="31"/>
      <x:c r="R482" s="31"/>
      <x:c r="S482" s="31"/>
      <x:c r="T482" s="31"/>
      <x:c r="U482" s="31"/>
      <x:c r="V482" s="31"/>
      <x:c r="W482" s="31"/>
    </x:row>
    <x:row r="483">
      <x:c r="A483" s="28"/>
      <x:c r="B483" s="28"/>
      <x:c r="C483" s="28"/>
      <x:c r="D483" s="28"/>
      <x:c r="E483" s="29"/>
      <x:c r="F483" s="29"/>
      <x:c r="G483" s="29"/>
      <x:c r="H483" s="29"/>
      <x:c r="I483" s="28"/>
      <x:c r="J483" s="30"/>
      <x:c r="K483" s="30"/>
      <x:c r="L483" s="28"/>
      <x:c r="M483" s="28"/>
      <x:c r="N483" s="31"/>
      <x:c r="O483" s="31"/>
      <x:c r="P483" s="31"/>
      <x:c r="Q483" s="31"/>
      <x:c r="R483" s="31"/>
      <x:c r="S483" s="31"/>
      <x:c r="T483" s="31"/>
      <x:c r="U483" s="31"/>
      <x:c r="V483" s="31"/>
      <x:c r="W483" s="31"/>
    </x:row>
    <x:row r="484">
      <x:c r="A484" s="28"/>
      <x:c r="B484" s="28"/>
      <x:c r="C484" s="28"/>
      <x:c r="D484" s="28"/>
      <x:c r="E484" s="29"/>
      <x:c r="F484" s="29"/>
      <x:c r="G484" s="29"/>
      <x:c r="H484" s="29"/>
      <x:c r="I484" s="28"/>
      <x:c r="J484" s="30"/>
      <x:c r="K484" s="30"/>
      <x:c r="L484" s="28"/>
      <x:c r="M484" s="28"/>
      <x:c r="N484" s="31"/>
      <x:c r="O484" s="31"/>
      <x:c r="P484" s="31"/>
      <x:c r="Q484" s="31"/>
      <x:c r="R484" s="31"/>
      <x:c r="S484" s="31"/>
      <x:c r="T484" s="31"/>
      <x:c r="U484" s="31"/>
      <x:c r="V484" s="31"/>
      <x:c r="W484" s="31"/>
    </x:row>
    <x:row r="485">
      <x:c r="A485" s="28"/>
      <x:c r="B485" s="28"/>
      <x:c r="C485" s="28"/>
      <x:c r="D485" s="28"/>
      <x:c r="E485" s="29"/>
      <x:c r="F485" s="29"/>
      <x:c r="G485" s="29"/>
      <x:c r="H485" s="29"/>
      <x:c r="I485" s="28"/>
      <x:c r="J485" s="30"/>
      <x:c r="K485" s="30"/>
      <x:c r="L485" s="28"/>
      <x:c r="M485" s="28"/>
      <x:c r="N485" s="31"/>
      <x:c r="O485" s="31"/>
      <x:c r="P485" s="31"/>
      <x:c r="Q485" s="31"/>
      <x:c r="R485" s="31"/>
      <x:c r="S485" s="31"/>
      <x:c r="T485" s="31"/>
      <x:c r="U485" s="31"/>
      <x:c r="V485" s="31"/>
      <x:c r="W485" s="31"/>
    </x:row>
    <x:row r="486">
      <x:c r="A486" s="28"/>
      <x:c r="B486" s="28"/>
      <x:c r="C486" s="28"/>
      <x:c r="D486" s="28"/>
      <x:c r="E486" s="29"/>
      <x:c r="F486" s="29"/>
      <x:c r="G486" s="29"/>
      <x:c r="H486" s="29"/>
      <x:c r="I486" s="28"/>
      <x:c r="J486" s="30"/>
      <x:c r="K486" s="30"/>
      <x:c r="L486" s="28"/>
      <x:c r="M486" s="28"/>
      <x:c r="N486" s="31"/>
      <x:c r="O486" s="31"/>
      <x:c r="P486" s="31"/>
      <x:c r="Q486" s="31"/>
      <x:c r="R486" s="31"/>
      <x:c r="S486" s="31"/>
      <x:c r="T486" s="31"/>
      <x:c r="U486" s="31"/>
      <x:c r="V486" s="31"/>
      <x:c r="W486" s="31"/>
    </x:row>
    <x:row r="487">
      <x:c r="A487" s="28"/>
      <x:c r="B487" s="28"/>
      <x:c r="C487" s="28"/>
      <x:c r="D487" s="28"/>
      <x:c r="E487" s="29"/>
      <x:c r="F487" s="29"/>
      <x:c r="G487" s="29"/>
      <x:c r="H487" s="29"/>
      <x:c r="I487" s="28"/>
      <x:c r="J487" s="30"/>
      <x:c r="K487" s="30"/>
      <x:c r="L487" s="28"/>
      <x:c r="M487" s="28"/>
      <x:c r="N487" s="31"/>
      <x:c r="O487" s="31"/>
      <x:c r="P487" s="31"/>
      <x:c r="Q487" s="31"/>
      <x:c r="R487" s="31"/>
      <x:c r="S487" s="31"/>
      <x:c r="T487" s="31"/>
      <x:c r="U487" s="31"/>
      <x:c r="V487" s="31"/>
      <x:c r="W487" s="31"/>
    </x:row>
    <x:row r="488">
      <x:c r="A488" s="28"/>
      <x:c r="B488" s="28"/>
      <x:c r="C488" s="28"/>
      <x:c r="D488" s="28"/>
      <x:c r="E488" s="29"/>
      <x:c r="F488" s="29"/>
      <x:c r="G488" s="29"/>
      <x:c r="H488" s="29"/>
      <x:c r="I488" s="28"/>
      <x:c r="J488" s="30"/>
      <x:c r="K488" s="30"/>
      <x:c r="L488" s="28"/>
      <x:c r="M488" s="28"/>
      <x:c r="N488" s="31"/>
      <x:c r="O488" s="31"/>
      <x:c r="P488" s="31"/>
      <x:c r="Q488" s="31"/>
      <x:c r="R488" s="31"/>
      <x:c r="S488" s="31"/>
      <x:c r="T488" s="31"/>
      <x:c r="U488" s="31"/>
      <x:c r="V488" s="31"/>
      <x:c r="W488" s="31"/>
    </x:row>
    <x:row r="489">
      <x:c r="A489" s="28"/>
      <x:c r="B489" s="28"/>
      <x:c r="C489" s="28"/>
      <x:c r="D489" s="28"/>
      <x:c r="E489" s="29"/>
      <x:c r="F489" s="29"/>
      <x:c r="G489" s="29"/>
      <x:c r="H489" s="29"/>
      <x:c r="I489" s="28"/>
      <x:c r="J489" s="30"/>
      <x:c r="K489" s="30"/>
      <x:c r="L489" s="28"/>
      <x:c r="M489" s="28"/>
      <x:c r="N489" s="31"/>
      <x:c r="O489" s="31"/>
      <x:c r="P489" s="31"/>
      <x:c r="Q489" s="31"/>
      <x:c r="R489" s="31"/>
      <x:c r="S489" s="31"/>
      <x:c r="T489" s="31"/>
      <x:c r="U489" s="31"/>
      <x:c r="V489" s="31"/>
      <x:c r="W489" s="31"/>
    </x:row>
    <x:row r="490">
      <x:c r="A490" s="28"/>
      <x:c r="B490" s="28"/>
      <x:c r="C490" s="28"/>
      <x:c r="D490" s="28"/>
      <x:c r="E490" s="29"/>
      <x:c r="F490" s="29"/>
      <x:c r="G490" s="29"/>
      <x:c r="H490" s="29"/>
      <x:c r="I490" s="28"/>
      <x:c r="J490" s="30"/>
      <x:c r="K490" s="30"/>
      <x:c r="L490" s="28"/>
      <x:c r="M490" s="28"/>
      <x:c r="N490" s="31"/>
      <x:c r="O490" s="31"/>
      <x:c r="P490" s="31"/>
      <x:c r="Q490" s="31"/>
      <x:c r="R490" s="31"/>
      <x:c r="S490" s="31"/>
      <x:c r="T490" s="31"/>
      <x:c r="U490" s="31"/>
      <x:c r="V490" s="31"/>
      <x:c r="W490" s="31"/>
    </x:row>
    <x:row r="491">
      <x:c r="A491" s="28"/>
      <x:c r="B491" s="28"/>
      <x:c r="C491" s="28"/>
      <x:c r="D491" s="28"/>
      <x:c r="E491" s="29"/>
      <x:c r="F491" s="29"/>
      <x:c r="G491" s="29"/>
      <x:c r="H491" s="29"/>
      <x:c r="I491" s="28"/>
      <x:c r="J491" s="30"/>
      <x:c r="K491" s="30"/>
      <x:c r="L491" s="28"/>
      <x:c r="M491" s="28"/>
      <x:c r="N491" s="31"/>
      <x:c r="O491" s="31"/>
      <x:c r="P491" s="31"/>
      <x:c r="Q491" s="31"/>
      <x:c r="R491" s="31"/>
      <x:c r="S491" s="31"/>
      <x:c r="T491" s="31"/>
      <x:c r="U491" s="31"/>
      <x:c r="V491" s="31"/>
      <x:c r="W491" s="31"/>
    </x:row>
    <x:row r="492">
      <x:c r="A492" s="28"/>
      <x:c r="B492" s="28"/>
      <x:c r="C492" s="28"/>
      <x:c r="D492" s="28"/>
      <x:c r="E492" s="29"/>
      <x:c r="F492" s="29"/>
      <x:c r="G492" s="29"/>
      <x:c r="H492" s="29"/>
      <x:c r="I492" s="28"/>
      <x:c r="J492" s="30"/>
      <x:c r="K492" s="30"/>
      <x:c r="L492" s="28"/>
      <x:c r="M492" s="28"/>
      <x:c r="N492" s="31"/>
      <x:c r="O492" s="31"/>
      <x:c r="P492" s="31"/>
      <x:c r="Q492" s="31"/>
      <x:c r="R492" s="31"/>
      <x:c r="S492" s="31"/>
      <x:c r="T492" s="31"/>
      <x:c r="U492" s="31"/>
      <x:c r="V492" s="31"/>
      <x:c r="W492" s="31"/>
    </x:row>
    <x:row r="493">
      <x:c r="A493" s="28"/>
      <x:c r="B493" s="28"/>
      <x:c r="C493" s="28"/>
      <x:c r="D493" s="28"/>
      <x:c r="E493" s="29"/>
      <x:c r="F493" s="29"/>
      <x:c r="G493" s="29"/>
      <x:c r="H493" s="29"/>
      <x:c r="I493" s="28"/>
      <x:c r="J493" s="30"/>
      <x:c r="K493" s="30"/>
      <x:c r="L493" s="28"/>
      <x:c r="M493" s="28"/>
      <x:c r="N493" s="31"/>
      <x:c r="O493" s="31"/>
      <x:c r="P493" s="31"/>
      <x:c r="Q493" s="31"/>
      <x:c r="R493" s="31"/>
      <x:c r="S493" s="31"/>
      <x:c r="T493" s="31"/>
      <x:c r="U493" s="31"/>
      <x:c r="V493" s="31"/>
      <x:c r="W493" s="31"/>
    </x:row>
    <x:row r="494">
      <x:c r="A494" s="28"/>
      <x:c r="B494" s="28"/>
      <x:c r="C494" s="28"/>
      <x:c r="D494" s="28"/>
      <x:c r="E494" s="29"/>
      <x:c r="F494" s="29"/>
      <x:c r="G494" s="29"/>
      <x:c r="H494" s="29"/>
      <x:c r="I494" s="28"/>
      <x:c r="J494" s="30"/>
      <x:c r="K494" s="30"/>
      <x:c r="L494" s="28"/>
      <x:c r="M494" s="28"/>
      <x:c r="N494" s="31"/>
      <x:c r="O494" s="31"/>
      <x:c r="P494" s="31"/>
      <x:c r="Q494" s="31"/>
      <x:c r="R494" s="31"/>
      <x:c r="S494" s="31"/>
      <x:c r="T494" s="31"/>
      <x:c r="U494" s="31"/>
      <x:c r="V494" s="31"/>
      <x:c r="W494" s="31"/>
    </x:row>
    <x:row r="495">
      <x:c r="A495" s="28"/>
      <x:c r="B495" s="28"/>
      <x:c r="C495" s="28"/>
      <x:c r="D495" s="28"/>
      <x:c r="E495" s="29"/>
      <x:c r="F495" s="29"/>
      <x:c r="G495" s="29"/>
      <x:c r="H495" s="29"/>
      <x:c r="I495" s="28"/>
      <x:c r="J495" s="30"/>
      <x:c r="K495" s="30"/>
      <x:c r="L495" s="28"/>
      <x:c r="M495" s="28"/>
      <x:c r="N495" s="31"/>
      <x:c r="O495" s="31"/>
      <x:c r="P495" s="31"/>
      <x:c r="Q495" s="31"/>
      <x:c r="R495" s="31"/>
      <x:c r="S495" s="31"/>
      <x:c r="T495" s="31"/>
      <x:c r="U495" s="31"/>
      <x:c r="V495" s="31"/>
      <x:c r="W495" s="31"/>
    </x:row>
    <x:row r="496">
      <x:c r="A496" s="28"/>
      <x:c r="B496" s="28"/>
      <x:c r="C496" s="28"/>
      <x:c r="D496" s="28"/>
      <x:c r="E496" s="29"/>
      <x:c r="F496" s="29"/>
      <x:c r="G496" s="29"/>
      <x:c r="H496" s="29"/>
      <x:c r="I496" s="28"/>
      <x:c r="J496" s="30"/>
      <x:c r="K496" s="30"/>
      <x:c r="L496" s="28"/>
      <x:c r="M496" s="28"/>
      <x:c r="N496" s="31"/>
      <x:c r="O496" s="31"/>
      <x:c r="P496" s="31"/>
      <x:c r="Q496" s="31"/>
      <x:c r="R496" s="31"/>
      <x:c r="S496" s="31"/>
      <x:c r="T496" s="31"/>
      <x:c r="U496" s="31"/>
      <x:c r="V496" s="31"/>
      <x:c r="W496" s="31"/>
    </x:row>
    <x:row r="497">
      <x:c r="A497" s="28"/>
      <x:c r="B497" s="28"/>
      <x:c r="C497" s="28"/>
      <x:c r="D497" s="28"/>
      <x:c r="E497" s="29"/>
      <x:c r="F497" s="29"/>
      <x:c r="G497" s="29"/>
      <x:c r="H497" s="29"/>
      <x:c r="I497" s="28"/>
      <x:c r="J497" s="30"/>
      <x:c r="K497" s="30"/>
      <x:c r="L497" s="28"/>
      <x:c r="M497" s="28"/>
      <x:c r="N497" s="31"/>
      <x:c r="O497" s="31"/>
      <x:c r="P497" s="31"/>
      <x:c r="Q497" s="31"/>
      <x:c r="R497" s="31"/>
      <x:c r="S497" s="31"/>
      <x:c r="T497" s="31"/>
      <x:c r="U497" s="31"/>
      <x:c r="V497" s="31"/>
      <x:c r="W497" s="31"/>
    </x:row>
    <x:row r="498">
      <x:c r="A498" s="28"/>
      <x:c r="B498" s="28"/>
      <x:c r="C498" s="28"/>
      <x:c r="D498" s="28"/>
      <x:c r="E498" s="29"/>
      <x:c r="F498" s="29"/>
      <x:c r="G498" s="29"/>
      <x:c r="H498" s="29"/>
      <x:c r="I498" s="28"/>
      <x:c r="J498" s="30"/>
      <x:c r="K498" s="30"/>
      <x:c r="L498" s="28"/>
      <x:c r="M498" s="28"/>
      <x:c r="N498" s="31"/>
      <x:c r="O498" s="31"/>
      <x:c r="P498" s="31"/>
      <x:c r="Q498" s="31"/>
      <x:c r="R498" s="31"/>
      <x:c r="S498" s="31"/>
      <x:c r="T498" s="31"/>
      <x:c r="U498" s="31"/>
      <x:c r="V498" s="31"/>
      <x:c r="W498" s="31"/>
    </x:row>
    <x:row r="499">
      <x:c r="A499" s="28"/>
      <x:c r="B499" s="28"/>
      <x:c r="C499" s="28"/>
      <x:c r="D499" s="28"/>
      <x:c r="E499" s="29"/>
      <x:c r="F499" s="29"/>
      <x:c r="G499" s="29"/>
      <x:c r="H499" s="29"/>
      <x:c r="I499" s="28"/>
      <x:c r="J499" s="30"/>
      <x:c r="K499" s="30"/>
      <x:c r="L499" s="28"/>
      <x:c r="M499" s="28"/>
      <x:c r="N499" s="31"/>
      <x:c r="O499" s="31"/>
      <x:c r="P499" s="31"/>
      <x:c r="Q499" s="31"/>
      <x:c r="R499" s="31"/>
      <x:c r="S499" s="31"/>
      <x:c r="T499" s="31"/>
      <x:c r="U499" s="31"/>
      <x:c r="V499" s="31"/>
      <x:c r="W499" s="31"/>
    </x:row>
    <x:row r="500">
      <x:c r="A500" s="28"/>
      <x:c r="B500" s="28"/>
      <x:c r="C500" s="28"/>
      <x:c r="D500" s="28"/>
      <x:c r="E500" s="29"/>
      <x:c r="F500" s="29"/>
      <x:c r="G500" s="29"/>
      <x:c r="H500" s="29"/>
      <x:c r="I500" s="28"/>
      <x:c r="J500" s="30"/>
      <x:c r="K500" s="30"/>
      <x:c r="L500" s="28"/>
      <x:c r="M500" s="28"/>
      <x:c r="N500" s="31"/>
      <x:c r="O500" s="31"/>
      <x:c r="P500" s="31"/>
      <x:c r="Q500" s="31"/>
      <x:c r="R500" s="31"/>
      <x:c r="S500" s="31"/>
      <x:c r="T500" s="31"/>
      <x:c r="U500" s="31"/>
      <x:c r="V500" s="31"/>
      <x:c r="W500" s="31"/>
    </x:row>
    <x:row r="501">
      <x:c r="A501" s="28"/>
      <x:c r="B501" s="28"/>
      <x:c r="C501" s="28"/>
      <x:c r="D501" s="28"/>
      <x:c r="E501" s="29"/>
      <x:c r="F501" s="29"/>
      <x:c r="G501" s="29"/>
      <x:c r="H501" s="29"/>
      <x:c r="I501" s="28"/>
      <x:c r="J501" s="30"/>
      <x:c r="K501" s="30"/>
      <x:c r="L501" s="28"/>
      <x:c r="M501" s="28"/>
      <x:c r="N501" s="31"/>
      <x:c r="O501" s="31"/>
      <x:c r="P501" s="31"/>
      <x:c r="Q501" s="31"/>
      <x:c r="R501" s="31"/>
      <x:c r="S501" s="31"/>
      <x:c r="T501" s="31"/>
      <x:c r="U501" s="31"/>
      <x:c r="V501" s="31"/>
      <x:c r="W501" s="31"/>
    </x:row>
    <x:row r="502">
      <x:c r="A502" s="28"/>
      <x:c r="B502" s="28"/>
      <x:c r="C502" s="28"/>
      <x:c r="D502" s="28"/>
      <x:c r="E502" s="29"/>
      <x:c r="F502" s="29"/>
      <x:c r="G502" s="29"/>
      <x:c r="H502" s="29"/>
      <x:c r="I502" s="28"/>
      <x:c r="J502" s="30"/>
      <x:c r="K502" s="30"/>
      <x:c r="L502" s="28"/>
      <x:c r="M502" s="28"/>
      <x:c r="N502" s="31"/>
      <x:c r="O502" s="31"/>
      <x:c r="P502" s="31"/>
      <x:c r="Q502" s="31"/>
      <x:c r="R502" s="31"/>
      <x:c r="S502" s="31"/>
      <x:c r="T502" s="31"/>
      <x:c r="U502" s="31"/>
      <x:c r="V502" s="31"/>
      <x:c r="W502" s="31"/>
    </x:row>
    <x:row r="503">
      <x:c r="A503" s="28"/>
      <x:c r="B503" s="28"/>
      <x:c r="C503" s="28"/>
      <x:c r="D503" s="28"/>
      <x:c r="E503" s="29"/>
      <x:c r="F503" s="29"/>
      <x:c r="G503" s="29"/>
      <x:c r="H503" s="29"/>
      <x:c r="I503" s="28"/>
      <x:c r="J503" s="30"/>
      <x:c r="K503" s="30"/>
      <x:c r="L503" s="28"/>
      <x:c r="M503" s="28"/>
      <x:c r="N503" s="31"/>
      <x:c r="O503" s="31"/>
      <x:c r="P503" s="31"/>
      <x:c r="Q503" s="31"/>
      <x:c r="R503" s="31"/>
      <x:c r="S503" s="31"/>
      <x:c r="T503" s="31"/>
      <x:c r="U503" s="31"/>
      <x:c r="V503" s="31"/>
      <x:c r="W503" s="31"/>
    </x:row>
    <x:row r="504">
      <x:c r="A504" s="28"/>
      <x:c r="B504" s="28"/>
      <x:c r="C504" s="28"/>
      <x:c r="D504" s="28"/>
      <x:c r="E504" s="29"/>
      <x:c r="F504" s="29"/>
      <x:c r="G504" s="29"/>
      <x:c r="H504" s="29"/>
      <x:c r="I504" s="28"/>
      <x:c r="J504" s="30"/>
      <x:c r="K504" s="30"/>
      <x:c r="L504" s="28"/>
      <x:c r="M504" s="28"/>
      <x:c r="N504" s="31"/>
      <x:c r="O504" s="31"/>
      <x:c r="P504" s="31"/>
      <x:c r="Q504" s="31"/>
      <x:c r="R504" s="31"/>
      <x:c r="S504" s="31"/>
      <x:c r="T504" s="31"/>
      <x:c r="U504" s="31"/>
      <x:c r="V504" s="31"/>
      <x:c r="W504" s="31"/>
    </x:row>
    <x:row r="505">
      <x:c r="A505" s="28"/>
      <x:c r="B505" s="28"/>
      <x:c r="C505" s="28"/>
      <x:c r="D505" s="28"/>
      <x:c r="E505" s="29"/>
      <x:c r="F505" s="29"/>
      <x:c r="G505" s="29"/>
      <x:c r="H505" s="29"/>
      <x:c r="I505" s="28"/>
      <x:c r="J505" s="30"/>
      <x:c r="K505" s="30"/>
      <x:c r="L505" s="28"/>
      <x:c r="M505" s="28"/>
      <x:c r="N505" s="31"/>
      <x:c r="O505" s="31"/>
      <x:c r="P505" s="31"/>
      <x:c r="Q505" s="31"/>
      <x:c r="R505" s="31"/>
      <x:c r="S505" s="31"/>
      <x:c r="T505" s="31"/>
      <x:c r="U505" s="31"/>
      <x:c r="V505" s="31"/>
      <x:c r="W505" s="31"/>
    </x:row>
    <x:row r="506">
      <x:c r="A506" s="28"/>
      <x:c r="B506" s="28"/>
      <x:c r="C506" s="28"/>
      <x:c r="D506" s="28"/>
      <x:c r="E506" s="29"/>
      <x:c r="F506" s="29"/>
      <x:c r="G506" s="29"/>
      <x:c r="H506" s="29"/>
      <x:c r="I506" s="28"/>
      <x:c r="J506" s="30"/>
      <x:c r="K506" s="30"/>
      <x:c r="L506" s="28"/>
      <x:c r="M506" s="28"/>
      <x:c r="N506" s="31"/>
      <x:c r="O506" s="31"/>
      <x:c r="P506" s="31"/>
      <x:c r="Q506" s="31"/>
      <x:c r="R506" s="31"/>
      <x:c r="S506" s="31"/>
      <x:c r="T506" s="31"/>
      <x:c r="U506" s="31"/>
      <x:c r="V506" s="31"/>
      <x:c r="W506" s="31"/>
    </x:row>
    <x:row r="507">
      <x:c r="A507" s="28"/>
      <x:c r="B507" s="28"/>
      <x:c r="C507" s="28"/>
      <x:c r="D507" s="28"/>
      <x:c r="E507" s="29"/>
      <x:c r="F507" s="29"/>
      <x:c r="G507" s="29"/>
      <x:c r="H507" s="29"/>
      <x:c r="I507" s="28"/>
      <x:c r="J507" s="30"/>
      <x:c r="K507" s="30"/>
      <x:c r="L507" s="28"/>
      <x:c r="M507" s="28"/>
      <x:c r="N507" s="31"/>
      <x:c r="O507" s="31"/>
      <x:c r="P507" s="31"/>
      <x:c r="Q507" s="31"/>
      <x:c r="R507" s="31"/>
      <x:c r="S507" s="31"/>
      <x:c r="T507" s="31"/>
      <x:c r="U507" s="31"/>
      <x:c r="V507" s="31"/>
      <x:c r="W507" s="31"/>
    </x:row>
    <x:row r="508">
      <x:c r="A508" s="28"/>
      <x:c r="B508" s="28"/>
      <x:c r="C508" s="28"/>
      <x:c r="D508" s="28"/>
      <x:c r="E508" s="29"/>
      <x:c r="F508" s="29"/>
      <x:c r="G508" s="29"/>
      <x:c r="H508" s="29"/>
      <x:c r="I508" s="28"/>
      <x:c r="J508" s="30"/>
      <x:c r="K508" s="30"/>
      <x:c r="L508" s="28"/>
      <x:c r="M508" s="28"/>
      <x:c r="N508" s="31"/>
      <x:c r="O508" s="31"/>
      <x:c r="P508" s="31"/>
      <x:c r="Q508" s="31"/>
      <x:c r="R508" s="31"/>
      <x:c r="S508" s="31"/>
      <x:c r="T508" s="31"/>
      <x:c r="U508" s="31"/>
      <x:c r="V508" s="31"/>
      <x:c r="W508" s="31"/>
    </x:row>
    <x:row r="509">
      <x:c r="A509" s="28"/>
      <x:c r="B509" s="28"/>
      <x:c r="C509" s="28"/>
      <x:c r="D509" s="28"/>
      <x:c r="E509" s="29"/>
      <x:c r="F509" s="29"/>
      <x:c r="G509" s="29"/>
      <x:c r="H509" s="29"/>
      <x:c r="I509" s="28"/>
      <x:c r="J509" s="30"/>
      <x:c r="K509" s="30"/>
      <x:c r="L509" s="28"/>
      <x:c r="M509" s="28"/>
      <x:c r="N509" s="31"/>
      <x:c r="O509" s="31"/>
      <x:c r="P509" s="31"/>
      <x:c r="Q509" s="31"/>
      <x:c r="R509" s="31"/>
      <x:c r="S509" s="31"/>
      <x:c r="T509" s="31"/>
      <x:c r="U509" s="31"/>
      <x:c r="V509" s="31"/>
      <x:c r="W509" s="31"/>
    </x:row>
  </x:sheetData>
  <x:conditionalFormatting sqref="I10:I509">
    <x:cfRule type="containsText" dxfId="0" priority="1" operator="containsText" text="Ready for application"/>
    <x:cfRule type="containsText" dxfId="1" priority="2" operator="containsText" text="Submitted"/>
    <x:cfRule type="containsText" dxfId="2" priority="3" operator="containsText" text="Needs input"/>
    <x:cfRule type="containsText" dxfId="3" priority="4" operator="containsText" text="Halted"/>
  </x:conditionalFormatting>
  <x:dataValidations count="1">
    <x:dataValidation type="list" sqref="I10:I509">
      <x:formula1>"Discovered,In progress,Needs input,Ready for application,Submitted,Halted,Rejected,Withdrawn"</x:formula1>
    </x:dataValidation>
  </x:dataValidations>
  <x:pageMargins left="0.7" right="0.7" top="0.75" bottom="0.75" header="0.3" footer="0.3"/>
  <x:tableParts count="1">
    <x:tablePart xmlns:r="http://schemas.openxmlformats.org/officeDocument/2006/relationships" r:id="R8e84e801f1f7480b"/>
  </x:tableParts>
</x:worksheet>
</file>